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仕分けリスト" sheetId="2" state="visible" r:id="rId4"/>
  </sheets>
  <definedNames>
    <definedName function="false" hidden="true" localSheetId="1" name="_xlnm._FilterDatabase" vbProcedure="false">仕分けリスト!$A$2:$H$82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<sst xmlns="http://schemas.openxmlformats.org/spreadsheetml/2006/main" count="426" uniqueCount="270">
  <si>
    <r>
      <rPr>
        <b val="true"/>
        <sz val="16"/>
        <color rgb="FF1F3864"/>
        <rFont val="Yu Gothic"/>
        <family val="0"/>
        <charset val="1"/>
      </rPr>
      <t xml:space="preserve">MepCad </t>
    </r>
    <r>
      <rPr>
        <b val="true"/>
        <sz val="16"/>
        <color rgb="FF1F3864"/>
        <rFont val="Noto Sans CJK SC"/>
        <family val="2"/>
      </rPr>
      <t xml:space="preserve">機能仕分けチェックリスト</t>
    </r>
  </si>
  <si>
    <r>
      <rPr>
        <sz val="10"/>
        <color rgb="FF000000"/>
        <rFont val="Yu Gothic"/>
        <family val="0"/>
        <charset val="1"/>
      </rPr>
      <t xml:space="preserve">FILDER CeeD </t>
    </r>
    <r>
      <rPr>
        <sz val="10"/>
        <color rgb="FF000000"/>
        <rFont val="Noto Sans CJK SC"/>
        <family val="2"/>
      </rPr>
      <t xml:space="preserve">操作マニュアル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はじめに章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の機能構成をもとに、</t>
    </r>
    <r>
      <rPr>
        <sz val="10"/>
        <color rgb="FF000000"/>
        <rFont val="Yu Gothic"/>
        <family val="0"/>
        <charset val="1"/>
      </rPr>
      <t xml:space="preserve">MepCad</t>
    </r>
    <r>
      <rPr>
        <sz val="10"/>
        <color rgb="FF000000"/>
        <rFont val="Noto Sans CJK SC"/>
        <family val="2"/>
      </rPr>
      <t xml:space="preserve">に入れる機能を仕分けするためのリストです。</t>
    </r>
  </si>
  <si>
    <t xml:space="preserve">【使い方】</t>
  </si>
  <si>
    <r>
      <rPr>
        <sz val="10"/>
        <color rgb="FF000000"/>
        <rFont val="Yu Gothic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「仕分けリスト」シートを開き、各行の「推奨」</t>
    </r>
    <r>
      <rPr>
        <sz val="10"/>
        <color rgb="FF000000"/>
        <rFont val="Yu Gothic"/>
        <family val="0"/>
        <charset val="1"/>
      </rPr>
      <t xml:space="preserve">(Claude</t>
    </r>
    <r>
      <rPr>
        <sz val="10"/>
        <color rgb="FF000000"/>
        <rFont val="Noto Sans CJK SC"/>
        <family val="2"/>
      </rPr>
      <t xml:space="preserve">の叩き台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を確認します。</t>
    </r>
  </si>
  <si>
    <r>
      <rPr>
        <sz val="10"/>
        <color rgb="FF000000"/>
        <rFont val="Yu Gothic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黄色の「決定」列をプルダウンから選びます</t>
    </r>
    <r>
      <rPr>
        <sz val="10"/>
        <color rgb="FF000000"/>
        <rFont val="Yu Gothic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要</t>
    </r>
    <r>
      <rPr>
        <sz val="10"/>
        <color rgb="FF000000"/>
        <rFont val="Yu Gothic"/>
        <family val="0"/>
        <charset val="1"/>
      </rPr>
      <t xml:space="preserve">(MVP) / </t>
    </r>
    <r>
      <rPr>
        <sz val="10"/>
        <color rgb="FF000000"/>
        <rFont val="Noto Sans CJK SC"/>
        <family val="2"/>
      </rPr>
      <t xml:space="preserve">後で</t>
    </r>
    <r>
      <rPr>
        <sz val="10"/>
        <color rgb="FF000000"/>
        <rFont val="Yu Gothic"/>
        <family val="0"/>
        <charset val="1"/>
      </rPr>
      <t xml:space="preserve">(v2</t>
    </r>
    <r>
      <rPr>
        <sz val="10"/>
        <color rgb="FF000000"/>
        <rFont val="Noto Sans CJK SC"/>
        <family val="2"/>
      </rPr>
      <t xml:space="preserve">以降</t>
    </r>
    <r>
      <rPr>
        <sz val="10"/>
        <color rgb="FF000000"/>
        <rFont val="Yu Gothic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不要 </t>
    </r>
    <r>
      <rPr>
        <sz val="10"/>
        <color rgb="FF000000"/>
        <rFont val="Yu Gothic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未定</t>
    </r>
  </si>
  <si>
    <r>
      <rPr>
        <sz val="10"/>
        <color rgb="FF000000"/>
        <rFont val="Yu Gothic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補足があれば「メモ」列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黄色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に自由に記入してください。</t>
    </r>
  </si>
  <si>
    <r>
      <rPr>
        <sz val="10"/>
        <color rgb="FF000000"/>
        <rFont val="Yu Gothic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記入後このファイルを送り返していただければ、決定内容を企画・設計書に反映します。</t>
    </r>
  </si>
  <si>
    <t xml:space="preserve">【記入例】</t>
  </si>
  <si>
    <r>
      <rPr>
        <sz val="10"/>
        <color rgb="FF000000"/>
        <rFont val="Noto Sans CJK SC"/>
        <family val="2"/>
      </rPr>
      <t xml:space="preserve">例</t>
    </r>
    <r>
      <rPr>
        <sz val="10"/>
        <color rgb="FF000000"/>
        <rFont val="Yu Gothic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推奨が「後で</t>
    </r>
    <r>
      <rPr>
        <sz val="10"/>
        <color rgb="FF000000"/>
        <rFont val="Yu Gothic"/>
        <family val="0"/>
        <charset val="1"/>
      </rPr>
      <t xml:space="preserve">(v2</t>
    </r>
    <r>
      <rPr>
        <sz val="10"/>
        <color rgb="FF000000"/>
        <rFont val="Noto Sans CJK SC"/>
        <family val="2"/>
      </rPr>
      <t xml:space="preserve">以降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」のアイソメ機能 → 決定「要</t>
    </r>
    <r>
      <rPr>
        <sz val="10"/>
        <color rgb="FF000000"/>
        <rFont val="Yu Gothic"/>
        <family val="0"/>
        <charset val="1"/>
      </rPr>
      <t xml:space="preserve">(MVP)</t>
    </r>
    <r>
      <rPr>
        <sz val="10"/>
        <color rgb="FF000000"/>
        <rFont val="Noto Sans CJK SC"/>
        <family val="2"/>
      </rPr>
      <t xml:space="preserve">」、メモ「アイソメは受注の武器になるので初版から欲しい」</t>
    </r>
  </si>
  <si>
    <r>
      <rPr>
        <sz val="10"/>
        <color rgb="FF000000"/>
        <rFont val="Noto Sans CJK SC"/>
        <family val="2"/>
      </rPr>
      <t xml:space="preserve">【凡例】黄色セル </t>
    </r>
    <r>
      <rPr>
        <sz val="10"/>
        <color rgb="FF000000"/>
        <rFont val="Yu Gothic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記入欄 </t>
    </r>
    <r>
      <rPr>
        <sz val="10"/>
        <color rgb="FF000000"/>
        <rFont val="Yu Gothic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推奨列の色</t>
    </r>
    <r>
      <rPr>
        <sz val="10"/>
        <color rgb="FF000000"/>
        <rFont val="Yu Gothic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緑</t>
    </r>
    <r>
      <rPr>
        <sz val="10"/>
        <color rgb="FF000000"/>
        <rFont val="Yu Gothic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要</t>
    </r>
    <r>
      <rPr>
        <sz val="10"/>
        <color rgb="FF000000"/>
        <rFont val="Yu Gothic"/>
        <family val="0"/>
        <charset val="1"/>
      </rPr>
      <t xml:space="preserve">(MVP)</t>
    </r>
    <r>
      <rPr>
        <sz val="10"/>
        <color rgb="FF000000"/>
        <rFont val="Noto Sans CJK SC"/>
        <family val="2"/>
      </rPr>
      <t xml:space="preserve">、橙</t>
    </r>
    <r>
      <rPr>
        <sz val="10"/>
        <color rgb="FF000000"/>
        <rFont val="Yu Gothic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後で</t>
    </r>
    <r>
      <rPr>
        <sz val="10"/>
        <color rgb="FF000000"/>
        <rFont val="Yu Gothic"/>
        <family val="0"/>
        <charset val="1"/>
      </rPr>
      <t xml:space="preserve">(v2</t>
    </r>
    <r>
      <rPr>
        <sz val="10"/>
        <color rgb="FF000000"/>
        <rFont val="Noto Sans CJK SC"/>
        <family val="2"/>
      </rPr>
      <t xml:space="preserve">以降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、灰</t>
    </r>
    <r>
      <rPr>
        <sz val="10"/>
        <color rgb="FF000000"/>
        <rFont val="Yu Gothic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不要</t>
    </r>
  </si>
  <si>
    <r>
      <rPr>
        <b val="true"/>
        <sz val="11"/>
        <color rgb="FF1F3864"/>
        <rFont val="Noto Sans CJK SC"/>
        <family val="2"/>
      </rPr>
      <t xml:space="preserve">【集計</t>
    </r>
    <r>
      <rPr>
        <b val="true"/>
        <sz val="11"/>
        <color rgb="FF1F3864"/>
        <rFont val="Yu Gothic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決定列の入力状況</t>
    </r>
    <r>
      <rPr>
        <b val="true"/>
        <sz val="11"/>
        <color rgb="FF1F3864"/>
        <rFont val="Yu Gothic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】</t>
    </r>
  </si>
  <si>
    <r>
      <rPr>
        <sz val="10"/>
        <color rgb="FF000000"/>
        <rFont val="Noto Sans CJK SC"/>
        <family val="2"/>
      </rPr>
      <t xml:space="preserve">要</t>
    </r>
    <r>
      <rPr>
        <sz val="10"/>
        <color rgb="FF000000"/>
        <rFont val="Yu Gothic"/>
        <family val="0"/>
        <charset val="1"/>
      </rPr>
      <t xml:space="preserve">(MVP)</t>
    </r>
  </si>
  <si>
    <r>
      <rPr>
        <sz val="10"/>
        <color rgb="FF000000"/>
        <rFont val="Noto Sans CJK SC"/>
        <family val="2"/>
      </rPr>
      <t xml:space="preserve">後で</t>
    </r>
    <r>
      <rPr>
        <sz val="10"/>
        <color rgb="FF000000"/>
        <rFont val="Yu Gothic"/>
        <family val="0"/>
        <charset val="1"/>
      </rPr>
      <t xml:space="preserve">(v2</t>
    </r>
    <r>
      <rPr>
        <sz val="10"/>
        <color rgb="FF000000"/>
        <rFont val="Noto Sans CJK SC"/>
        <family val="2"/>
      </rPr>
      <t xml:space="preserve">以降</t>
    </r>
    <r>
      <rPr>
        <sz val="10"/>
        <color rgb="FF000000"/>
        <rFont val="Yu Gothic"/>
        <family val="0"/>
        <charset val="1"/>
      </rPr>
      <t xml:space="preserve">)</t>
    </r>
  </si>
  <si>
    <t xml:space="preserve">不要</t>
  </si>
  <si>
    <t xml:space="preserve">未定</t>
  </si>
  <si>
    <t xml:space="preserve">未入力</t>
  </si>
  <si>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参考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推奨の内訳</t>
    </r>
    <r>
      <rPr>
        <sz val="10"/>
        <color rgb="FF000000"/>
        <rFont val="Yu Gothic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要</t>
    </r>
    <r>
      <rPr>
        <sz val="10"/>
        <color rgb="FF000000"/>
        <rFont val="Yu Gothic"/>
        <family val="0"/>
        <charset val="1"/>
      </rPr>
      <t xml:space="preserve">(MVP) 44</t>
    </r>
    <r>
      <rPr>
        <sz val="10"/>
        <color rgb="FF000000"/>
        <rFont val="Noto Sans CJK SC"/>
        <family val="2"/>
      </rPr>
      <t xml:space="preserve">件 </t>
    </r>
    <r>
      <rPr>
        <sz val="10"/>
        <color rgb="FF000000"/>
        <rFont val="Yu Gothic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後で</t>
    </r>
    <r>
      <rPr>
        <sz val="10"/>
        <color rgb="FF000000"/>
        <rFont val="Yu Gothic"/>
        <family val="0"/>
        <charset val="1"/>
      </rPr>
      <t xml:space="preserve">(v2</t>
    </r>
    <r>
      <rPr>
        <sz val="10"/>
        <color rgb="FF000000"/>
        <rFont val="Noto Sans CJK SC"/>
        <family val="2"/>
      </rPr>
      <t xml:space="preserve">以降</t>
    </r>
    <r>
      <rPr>
        <sz val="10"/>
        <color rgb="FF000000"/>
        <rFont val="Yu Gothic"/>
        <family val="0"/>
        <charset val="1"/>
      </rPr>
      <t xml:space="preserve">) 31</t>
    </r>
    <r>
      <rPr>
        <sz val="10"/>
        <color rgb="FF000000"/>
        <rFont val="Noto Sans CJK SC"/>
        <family val="2"/>
      </rPr>
      <t xml:space="preserve">件 </t>
    </r>
    <r>
      <rPr>
        <sz val="10"/>
        <color rgb="FF000000"/>
        <rFont val="Yu Gothic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不要 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件 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全</t>
    </r>
    <r>
      <rPr>
        <sz val="10"/>
        <color rgb="FF000000"/>
        <rFont val="Yu Gothic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件</t>
    </r>
    <r>
      <rPr>
        <sz val="10"/>
        <color rgb="FF000000"/>
        <rFont val="Yu Gothic"/>
        <family val="0"/>
        <charset val="1"/>
      </rPr>
      <t xml:space="preserve">)</t>
    </r>
  </si>
  <si>
    <r>
      <rPr>
        <b val="true"/>
        <sz val="12"/>
        <color rgb="FF1F3864"/>
        <rFont val="Yu Gothic"/>
        <family val="0"/>
        <charset val="1"/>
      </rPr>
      <t xml:space="preserve">MepCad </t>
    </r>
    <r>
      <rPr>
        <b val="true"/>
        <sz val="12"/>
        <color rgb="FF1F3864"/>
        <rFont val="Noto Sans CJK SC"/>
        <family val="2"/>
      </rPr>
      <t xml:space="preserve">機能仕分けリスト</t>
    </r>
    <r>
      <rPr>
        <b val="true"/>
        <sz val="12"/>
        <color rgb="FF1F3864"/>
        <rFont val="Yu Gothic"/>
        <family val="0"/>
        <charset val="1"/>
      </rPr>
      <t xml:space="preserve">(FILDER CeeD</t>
    </r>
    <r>
      <rPr>
        <b val="true"/>
        <sz val="12"/>
        <color rgb="FF1F3864"/>
        <rFont val="Noto Sans CJK SC"/>
        <family val="2"/>
      </rPr>
      <t xml:space="preserve">構成準拠</t>
    </r>
    <r>
      <rPr>
        <b val="true"/>
        <sz val="12"/>
        <color rgb="FF1F3864"/>
        <rFont val="Yu Gothic"/>
        <family val="0"/>
        <charset val="1"/>
      </rPr>
      <t xml:space="preserve">) — </t>
    </r>
    <r>
      <rPr>
        <b val="true"/>
        <sz val="12"/>
        <color rgb="FF1F3864"/>
        <rFont val="Noto Sans CJK SC"/>
        <family val="2"/>
      </rPr>
      <t xml:space="preserve">黄色セルを記入してください</t>
    </r>
  </si>
  <si>
    <t xml:space="preserve">No</t>
  </si>
  <si>
    <t xml:space="preserve">区分</t>
  </si>
  <si>
    <t xml:space="preserve">機能・グループ</t>
  </si>
  <si>
    <t xml:space="preserve">内容</t>
  </si>
  <si>
    <t xml:space="preserve">推奨</t>
  </si>
  <si>
    <t xml:space="preserve">推奨理由</t>
  </si>
  <si>
    <t xml:space="preserve">決定 ★記入</t>
  </si>
  <si>
    <t xml:space="preserve">メモ ★記入</t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</si>
  <si>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ファイル</t>
    </r>
  </si>
  <si>
    <t xml:space="preserve">新規作成・開く・保存・名前を付けて保存</t>
  </si>
  <si>
    <t xml:space="preserve">図面ファイルの基本操作</t>
  </si>
  <si>
    <r>
      <rPr>
        <sz val="10"/>
        <rFont val="Noto Sans CJK SC"/>
        <family val="2"/>
      </rPr>
      <t xml:space="preserve">要</t>
    </r>
    <r>
      <rPr>
        <sz val="10"/>
        <rFont val="Yu Gothic"/>
        <family val="0"/>
        <charset val="1"/>
      </rPr>
      <t xml:space="preserve">(MVP)</t>
    </r>
  </si>
  <si>
    <r>
      <rPr>
        <sz val="10"/>
        <rFont val="Yu Gothic"/>
        <family val="0"/>
        <charset val="1"/>
      </rPr>
      <t xml:space="preserve">CAD</t>
    </r>
    <r>
      <rPr>
        <sz val="10"/>
        <rFont val="Noto Sans CJK SC"/>
        <family val="2"/>
      </rPr>
      <t xml:space="preserve">として最低限の必須機能</t>
    </r>
  </si>
  <si>
    <r>
      <rPr>
        <sz val="10"/>
        <rFont val="Noto Sans CJK SC"/>
        <family val="2"/>
      </rPr>
      <t xml:space="preserve">図面インポート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エクスポート</t>
    </r>
  </si>
  <si>
    <r>
      <rPr>
        <sz val="10"/>
        <rFont val="Yu Gothic"/>
        <family val="0"/>
        <charset val="1"/>
      </rPr>
      <t xml:space="preserve">DXF/DWG/JWW</t>
    </r>
    <r>
      <rPr>
        <sz val="10"/>
        <rFont val="Noto Sans CJK SC"/>
        <family val="2"/>
      </rPr>
      <t xml:space="preserve">等の他形式との相互変換</t>
    </r>
  </si>
  <si>
    <r>
      <rPr>
        <sz val="10"/>
        <rFont val="Noto Sans CJK SC"/>
        <family val="2"/>
      </rPr>
      <t xml:space="preserve">元請・他社との図面授受に必須。対応形式の優先順位は別途決める</t>
    </r>
    <r>
      <rPr>
        <sz val="10"/>
        <rFont val="Yu Gothic"/>
        <family val="0"/>
        <charset val="1"/>
      </rPr>
      <t xml:space="preserve">(JWW/DXF</t>
    </r>
    <r>
      <rPr>
        <sz val="10"/>
        <rFont val="Noto Sans CJK SC"/>
        <family val="2"/>
      </rPr>
      <t xml:space="preserve">が有力</t>
    </r>
    <r>
      <rPr>
        <sz val="10"/>
        <rFont val="Yu Gothic"/>
        <family val="0"/>
        <charset val="1"/>
      </rPr>
      <t xml:space="preserve">)</t>
    </r>
  </si>
  <si>
    <t xml:space="preserve">複数図面変換</t>
  </si>
  <si>
    <t xml:space="preserve">複数ファイルの一括形式変換</t>
  </si>
  <si>
    <r>
      <rPr>
        <sz val="10"/>
        <rFont val="Noto Sans CJK SC"/>
        <family val="2"/>
      </rPr>
      <t xml:space="preserve">後で</t>
    </r>
    <r>
      <rPr>
        <sz val="10"/>
        <rFont val="Yu Gothic"/>
        <family val="0"/>
        <charset val="1"/>
      </rPr>
      <t xml:space="preserve">(v2</t>
    </r>
    <r>
      <rPr>
        <sz val="10"/>
        <rFont val="Noto Sans CJK SC"/>
        <family val="2"/>
      </rPr>
      <t xml:space="preserve">以降</t>
    </r>
    <r>
      <rPr>
        <sz val="10"/>
        <rFont val="Yu Gothic"/>
        <family val="0"/>
        <charset val="1"/>
      </rPr>
      <t xml:space="preserve">)</t>
    </r>
  </si>
  <si>
    <t xml:space="preserve">単一図面の変換ができれば当面回る</t>
  </si>
  <si>
    <t xml:space="preserve">印刷・印刷プレビュー</t>
  </si>
  <si>
    <t xml:space="preserve">用紙設定・印刷</t>
  </si>
  <si>
    <r>
      <rPr>
        <sz val="10"/>
        <rFont val="Noto Sans CJK SC"/>
        <family val="2"/>
      </rPr>
      <t xml:space="preserve">成果物出力に必須。</t>
    </r>
    <r>
      <rPr>
        <sz val="10"/>
        <rFont val="Yu Gothic"/>
        <family val="0"/>
        <charset val="1"/>
      </rPr>
      <t xml:space="preserve">PDF</t>
    </r>
    <r>
      <rPr>
        <sz val="10"/>
        <rFont val="Noto Sans CJK SC"/>
        <family val="2"/>
      </rPr>
      <t xml:space="preserve">出力も兼ねる</t>
    </r>
  </si>
  <si>
    <t xml:space="preserve">複数図面印刷</t>
  </si>
  <si>
    <t xml:space="preserve">複数図面の一括印刷</t>
  </si>
  <si>
    <t xml:space="preserve">省力化機能なので後回し可</t>
  </si>
  <si>
    <t xml:space="preserve">図面情報</t>
  </si>
  <si>
    <t xml:space="preserve">図面のプロパティ表示・編集</t>
  </si>
  <si>
    <t xml:space="preserve">最低限はファイル名で代替可</t>
  </si>
  <si>
    <t xml:space="preserve">外部参照・外部参照管理</t>
  </si>
  <si>
    <t xml:space="preserve">他図面を参照配置</t>
  </si>
  <si>
    <r>
      <rPr>
        <sz val="10"/>
        <rFont val="Noto Sans CJK SC"/>
        <family val="2"/>
      </rPr>
      <t xml:space="preserve">大規模案件向け。</t>
    </r>
    <r>
      <rPr>
        <sz val="10"/>
        <rFont val="Yu Gothic"/>
        <family val="0"/>
        <charset val="1"/>
      </rPr>
      <t xml:space="preserve">MVP</t>
    </r>
    <r>
      <rPr>
        <sz val="10"/>
        <rFont val="Noto Sans CJK SC"/>
        <family val="2"/>
      </rPr>
      <t xml:space="preserve">では不要</t>
    </r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</si>
  <si>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:UI</t>
    </r>
  </si>
  <si>
    <r>
      <rPr>
        <sz val="10"/>
        <rFont val="Noto Sans CJK SC"/>
        <family val="2"/>
      </rPr>
      <t xml:space="preserve">メインツールバー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クイックアクセス相当</t>
    </r>
    <r>
      <rPr>
        <sz val="10"/>
        <rFont val="Yu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</si>
  <si>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保存・印刷・</t>
    </r>
    <r>
      <rPr>
        <sz val="10"/>
        <rFont val="Yu Gothic"/>
        <family val="0"/>
        <charset val="1"/>
      </rPr>
      <t xml:space="preserve">Undo</t>
    </r>
    <r>
      <rPr>
        <sz val="10"/>
        <rFont val="Noto Sans CJK SC"/>
        <family val="2"/>
      </rPr>
      <t xml:space="preserve">等をワンクリック</t>
    </r>
  </si>
  <si>
    <r>
      <rPr>
        <sz val="10"/>
        <rFont val="Yu Gothic"/>
        <family val="0"/>
        <charset val="1"/>
      </rPr>
      <t xml:space="preserve">Mac</t>
    </r>
    <r>
      <rPr>
        <sz val="10"/>
        <rFont val="Noto Sans CJK SC"/>
        <family val="2"/>
      </rPr>
      <t xml:space="preserve">ネイティブ風</t>
    </r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の土台。リボンの代替として重要</t>
    </r>
  </si>
  <si>
    <t xml:space="preserve">プロパティパネル</t>
  </si>
  <si>
    <t xml:space="preserve">コマンド設定・選択図形の編集</t>
  </si>
  <si>
    <r>
      <rPr>
        <sz val="10"/>
        <rFont val="Yu Gothic"/>
        <family val="0"/>
        <charset val="1"/>
      </rPr>
      <t xml:space="preserve">FILDER</t>
    </r>
    <r>
      <rPr>
        <sz val="10"/>
        <rFont val="Noto Sans CJK SC"/>
        <family val="2"/>
      </rPr>
      <t xml:space="preserve">は「リボン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プロパティ」で作図する設計。作図操作の中核</t>
    </r>
  </si>
  <si>
    <r>
      <rPr>
        <sz val="10"/>
        <rFont val="Noto Sans CJK SC"/>
        <family val="2"/>
      </rPr>
      <t xml:space="preserve">図面タブ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複数図面切替</t>
    </r>
    <r>
      <rPr>
        <sz val="10"/>
        <rFont val="Yu Gothic"/>
        <family val="0"/>
        <charset val="1"/>
      </rPr>
      <t xml:space="preserve">)</t>
    </r>
  </si>
  <si>
    <t xml:space="preserve">複数図面を開いて切替</t>
  </si>
  <si>
    <r>
      <rPr>
        <sz val="10"/>
        <rFont val="Yu Gothic"/>
        <family val="0"/>
        <charset val="1"/>
      </rPr>
      <t xml:space="preserve">macOS</t>
    </r>
    <r>
      <rPr>
        <sz val="10"/>
        <rFont val="Noto Sans CJK SC"/>
        <family val="2"/>
      </rPr>
      <t xml:space="preserve">ならタブまたは複数ウィンドウで自然に実現</t>
    </r>
  </si>
  <si>
    <t xml:space="preserve">右クリックメニュー</t>
  </si>
  <si>
    <t xml:space="preserve">選択図形に応じた編集メニュー</t>
  </si>
  <si>
    <t xml:space="preserve">編集効率の基本</t>
  </si>
  <si>
    <t xml:space="preserve">ミニツールバー</t>
  </si>
  <si>
    <t xml:space="preserve">選択時にカーソル近くに表示される小ツールバー</t>
  </si>
  <si>
    <t xml:space="preserve">便利だが右クリックメニューで代替可</t>
  </si>
  <si>
    <t xml:space="preserve">ガイダンス表示</t>
  </si>
  <si>
    <t xml:space="preserve">次の操作を案内</t>
  </si>
  <si>
    <t xml:space="preserve">あると親切だが後付け可能</t>
  </si>
  <si>
    <t xml:space="preserve">コントロールポイント</t>
  </si>
  <si>
    <t xml:space="preserve">選択図形のハンドルで伸縮・移動・複写</t>
  </si>
  <si>
    <r>
      <rPr>
        <sz val="10"/>
        <rFont val="Noto Sans CJK SC"/>
        <family val="2"/>
      </rPr>
      <t xml:space="preserve">現代</t>
    </r>
    <r>
      <rPr>
        <sz val="10"/>
        <rFont val="Yu Gothic"/>
        <family val="0"/>
        <charset val="1"/>
      </rPr>
      <t xml:space="preserve">CAD</t>
    </r>
    <r>
      <rPr>
        <sz val="10"/>
        <rFont val="Noto Sans CJK SC"/>
        <family val="2"/>
      </rPr>
      <t xml:space="preserve">の標準操作。</t>
    </r>
    <r>
      <rPr>
        <sz val="10"/>
        <rFont val="Yu Gothic"/>
        <family val="0"/>
        <charset val="1"/>
      </rPr>
      <t xml:space="preserve">Mac</t>
    </r>
    <r>
      <rPr>
        <sz val="10"/>
        <rFont val="Noto Sans CJK SC"/>
        <family val="2"/>
      </rPr>
      <t xml:space="preserve">流の直感操作と相性が良い</t>
    </r>
  </si>
  <si>
    <t xml:space="preserve">ステータスバー</t>
  </si>
  <si>
    <r>
      <rPr>
        <sz val="10"/>
        <rFont val="Noto Sans CJK SC"/>
        <family val="2"/>
      </rPr>
      <t xml:space="preserve">グリッド・選択設定等の状態表示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切替</t>
    </r>
  </si>
  <si>
    <t xml:space="preserve">簡易版でよいので状態の見える化は必要</t>
  </si>
  <si>
    <t xml:space="preserve">ツールバー表示カスタマイズ</t>
  </si>
  <si>
    <t xml:space="preserve">表示するツールバーの選択</t>
  </si>
  <si>
    <t xml:space="preserve">カスタマイズ性は安定後に</t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</si>
  <si>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編集</t>
    </r>
  </si>
  <si>
    <t xml:space="preserve">Undo/Redo</t>
  </si>
  <si>
    <t xml:space="preserve">取り消し・やり直し</t>
  </si>
  <si>
    <t xml:space="preserve">必須。設計初期からデータ構造に組み込むべき</t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</si>
  <si>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座標</t>
    </r>
  </si>
  <si>
    <r>
      <rPr>
        <sz val="10"/>
        <rFont val="Noto Sans CJK SC"/>
        <family val="2"/>
      </rPr>
      <t xml:space="preserve">座標指示方法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スナップ</t>
    </r>
    <r>
      <rPr>
        <sz val="10"/>
        <rFont val="Yu Gothic"/>
        <family val="0"/>
        <charset val="1"/>
      </rPr>
      <t xml:space="preserve">)</t>
    </r>
  </si>
  <si>
    <t xml:space="preserve">端点・交点等への吸着指示</t>
  </si>
  <si>
    <r>
      <rPr>
        <sz val="10"/>
        <rFont val="Yu Gothic"/>
        <family val="0"/>
        <charset val="1"/>
      </rPr>
      <t xml:space="preserve">CAD</t>
    </r>
    <r>
      <rPr>
        <sz val="10"/>
        <rFont val="Noto Sans CJK SC"/>
        <family val="2"/>
      </rPr>
      <t xml:space="preserve">の操作感を決める核。最優先で作り込む</t>
    </r>
  </si>
  <si>
    <r>
      <rPr>
        <sz val="10"/>
        <rFont val="Noto Sans CJK SC"/>
        <family val="2"/>
      </rPr>
      <t xml:space="preserve">オペランド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数値入力</t>
    </r>
    <r>
      <rPr>
        <sz val="10"/>
        <rFont val="Yu Gothic"/>
        <family val="0"/>
        <charset val="1"/>
      </rPr>
      <t xml:space="preserve">)</t>
    </r>
  </si>
  <si>
    <t xml:space="preserve">距離・相対座標のキーボード入力</t>
  </si>
  <si>
    <t xml:space="preserve">正確な作図に必須</t>
  </si>
  <si>
    <t xml:space="preserve">複数候補問い合わせ</t>
  </si>
  <si>
    <t xml:space="preserve">スナップ候補が複数ある時の選択</t>
  </si>
  <si>
    <t xml:space="preserve">まずは最近傍優先で自動決定し、必要になったら追加</t>
  </si>
  <si>
    <t xml:space="preserve">グリッド補正</t>
  </si>
  <si>
    <t xml:space="preserve">グリッドへの吸着</t>
  </si>
  <si>
    <t xml:space="preserve">実装コストが低く効果が大きい</t>
  </si>
  <si>
    <r>
      <rPr>
        <sz val="10"/>
        <rFont val="Noto Sans CJK SC"/>
        <family val="2"/>
      </rPr>
      <t xml:space="preserve">距離補正・角度補正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併用含む</t>
    </r>
    <r>
      <rPr>
        <sz val="10"/>
        <rFont val="Yu Gothic"/>
        <family val="0"/>
        <charset val="1"/>
      </rPr>
      <t xml:space="preserve">)</t>
    </r>
  </si>
  <si>
    <t xml:space="preserve">一定距離・角度への丸め</t>
  </si>
  <si>
    <r>
      <rPr>
        <sz val="10"/>
        <rFont val="Noto Sans CJK SC"/>
        <family val="2"/>
      </rPr>
      <t xml:space="preserve">水平垂直・</t>
    </r>
    <r>
      <rPr>
        <sz val="10"/>
        <rFont val="Yu Gothic"/>
        <family val="0"/>
        <charset val="1"/>
      </rPr>
      <t xml:space="preserve">45</t>
    </r>
    <r>
      <rPr>
        <sz val="10"/>
        <rFont val="Noto Sans CJK SC"/>
        <family val="2"/>
      </rPr>
      <t xml:space="preserve">度等の拘束は配管作図に必須</t>
    </r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</si>
  <si>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選択</t>
    </r>
  </si>
  <si>
    <t xml:space="preserve">基本選択・選択設定・選択種類</t>
  </si>
  <si>
    <r>
      <rPr>
        <sz val="10"/>
        <rFont val="Noto Sans CJK SC"/>
        <family val="2"/>
      </rPr>
      <t xml:space="preserve">クリック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窓選択と対象の絞り込み</t>
    </r>
  </si>
  <si>
    <t xml:space="preserve">編集の前提となる基本機能</t>
  </si>
  <si>
    <t xml:space="preserve">全候補選択</t>
  </si>
  <si>
    <t xml:space="preserve">条件に合う図形の一括選択</t>
  </si>
  <si>
    <t xml:space="preserve">実装が軽い割に実務効果大</t>
  </si>
  <si>
    <t xml:space="preserve">選択属性固定・選択除外</t>
  </si>
  <si>
    <t xml:space="preserve">選択対象の固定・除外指定</t>
  </si>
  <si>
    <t xml:space="preserve">図面が複雑になってから効く機能</t>
  </si>
  <si>
    <t xml:space="preserve">ストレッチ</t>
  </si>
  <si>
    <t xml:space="preserve">窓選択範囲の図形を伸縮</t>
  </si>
  <si>
    <t xml:space="preserve">配管長さ調整の定番操作</t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</si>
  <si>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レイヤ</t>
    </r>
  </si>
  <si>
    <r>
      <rPr>
        <sz val="10"/>
        <rFont val="Noto Sans CJK SC"/>
        <family val="2"/>
      </rPr>
      <t xml:space="preserve">レイヤ管理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詳細・新規作成・変更</t>
    </r>
    <r>
      <rPr>
        <sz val="10"/>
        <rFont val="Yu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</si>
  <si>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表示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非表示・編集可否・レイヤ移動</t>
    </r>
  </si>
  <si>
    <t xml:space="preserve">設備図は用途別レイヤ運用が前提。必須</t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</si>
  <si>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空間</t>
    </r>
  </si>
  <si>
    <r>
      <rPr>
        <sz val="10"/>
        <rFont val="Noto Sans CJK SC"/>
        <family val="2"/>
      </rPr>
      <t xml:space="preserve">レイアウト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シート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ビューポート一式</t>
    </r>
  </si>
  <si>
    <t xml:space="preserve">モデル空間と用紙空間の分離・縮尺別配置</t>
  </si>
  <si>
    <r>
      <rPr>
        <sz val="10"/>
        <rFont val="Yu Gothic"/>
        <family val="0"/>
        <charset val="1"/>
      </rPr>
      <t xml:space="preserve">MVP</t>
    </r>
    <r>
      <rPr>
        <sz val="10"/>
        <rFont val="Noto Sans CJK SC"/>
        <family val="2"/>
      </rPr>
      <t xml:space="preserve">は「モデル空間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印刷範囲指定」で簡略化。工数削減の最大ポイント</t>
    </r>
  </si>
  <si>
    <r>
      <rPr>
        <sz val="10"/>
        <rFont val="Noto Sans CJK SC"/>
        <family val="2"/>
      </rPr>
      <t xml:space="preserve">基盤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表示</t>
    </r>
  </si>
  <si>
    <r>
      <rPr>
        <sz val="10"/>
        <rFont val="Yu Gothic"/>
        <family val="0"/>
        <charset val="1"/>
      </rPr>
      <t xml:space="preserve">3D</t>
    </r>
    <r>
      <rPr>
        <sz val="10"/>
        <rFont val="Noto Sans CJK SC"/>
        <family val="2"/>
      </rPr>
      <t xml:space="preserve">ビュー作成・立面追加</t>
    </r>
  </si>
  <si>
    <r>
      <rPr>
        <sz val="10"/>
        <rFont val="Yu Gothic"/>
        <family val="0"/>
        <charset val="1"/>
      </rPr>
      <t xml:space="preserve">3D</t>
    </r>
    <r>
      <rPr>
        <sz val="10"/>
        <rFont val="Noto Sans CJK SC"/>
        <family val="2"/>
      </rPr>
      <t xml:space="preserve">表示・立面図生成</t>
    </r>
  </si>
  <si>
    <r>
      <rPr>
        <sz val="10"/>
        <rFont val="Yu Gothic"/>
        <family val="0"/>
        <charset val="1"/>
      </rPr>
      <t xml:space="preserve">2D</t>
    </r>
    <r>
      <rPr>
        <sz val="10"/>
        <rFont val="Noto Sans CJK SC"/>
        <family val="2"/>
      </rPr>
      <t xml:space="preserve">中心の方針のため対象外。将来の構想としては残す</t>
    </r>
  </si>
  <si>
    <t xml:space="preserve">ホーム</t>
  </si>
  <si>
    <t xml:space="preserve">図面比較</t>
  </si>
  <si>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図面の差分表示</t>
    </r>
  </si>
  <si>
    <t xml:space="preserve">便利機能。改訂管理が必要になってから</t>
  </si>
  <si>
    <t xml:space="preserve">図形調整</t>
  </si>
  <si>
    <t xml:space="preserve">図形の整列・調整</t>
  </si>
  <si>
    <t xml:space="preserve">基本編集で当面代替可</t>
  </si>
  <si>
    <r>
      <rPr>
        <sz val="10"/>
        <rFont val="Noto Sans CJK SC"/>
        <family val="2"/>
      </rPr>
      <t xml:space="preserve">補助・情報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計測等</t>
    </r>
    <r>
      <rPr>
        <sz val="10"/>
        <rFont val="Yu Gothic"/>
        <family val="0"/>
        <charset val="1"/>
      </rPr>
      <t xml:space="preserve">)</t>
    </r>
  </si>
  <si>
    <t xml:space="preserve">距離・面積計測など</t>
  </si>
  <si>
    <t xml:space="preserve">現場で頻用。計測は早期に必要</t>
  </si>
  <si>
    <t xml:space="preserve">画像クリップボード</t>
  </si>
  <si>
    <t xml:space="preserve">画面の画像コピー</t>
  </si>
  <si>
    <r>
      <rPr>
        <sz val="10"/>
        <rFont val="Yu Gothic"/>
        <family val="0"/>
        <charset val="1"/>
      </rPr>
      <t xml:space="preserve">OS</t>
    </r>
    <r>
      <rPr>
        <sz val="10"/>
        <rFont val="Noto Sans CJK SC"/>
        <family val="2"/>
      </rPr>
      <t xml:space="preserve">のスクリーンショットで代替可</t>
    </r>
  </si>
  <si>
    <t xml:space="preserve">ブラウザ・ユーザツール</t>
  </si>
  <si>
    <t xml:space="preserve">ブラウザ起動・外部ツール連携</t>
  </si>
  <si>
    <r>
      <rPr>
        <sz val="10"/>
        <rFont val="Yu Gothic"/>
        <family val="0"/>
        <charset val="1"/>
      </rPr>
      <t xml:space="preserve">OS</t>
    </r>
    <r>
      <rPr>
        <sz val="10"/>
        <rFont val="Noto Sans CJK SC"/>
        <family val="2"/>
      </rPr>
      <t xml:space="preserve">機能で代替。</t>
    </r>
    <r>
      <rPr>
        <sz val="10"/>
        <rFont val="Yu Gothic"/>
        <family val="0"/>
        <charset val="1"/>
      </rPr>
      <t xml:space="preserve">CAD</t>
    </r>
    <r>
      <rPr>
        <sz val="10"/>
        <rFont val="Noto Sans CJK SC"/>
        <family val="2"/>
      </rPr>
      <t xml:space="preserve">に内蔵する必要なし</t>
    </r>
  </si>
  <si>
    <t xml:space="preserve">設定</t>
  </si>
  <si>
    <t xml:space="preserve">環境設定</t>
  </si>
  <si>
    <t xml:space="preserve">動作・表示の基本設定</t>
  </si>
  <si>
    <r>
      <rPr>
        <sz val="10"/>
        <rFont val="Noto Sans CJK SC"/>
        <family val="2"/>
      </rPr>
      <t xml:space="preserve">最小限の項目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単位・色・スナップ等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から始める</t>
    </r>
  </si>
  <si>
    <t xml:space="preserve">カスタマイズ</t>
  </si>
  <si>
    <r>
      <rPr>
        <sz val="10"/>
        <rFont val="Noto Sans CJK SC"/>
        <family val="2"/>
      </rPr>
      <t xml:space="preserve">ショートカット・</t>
    </r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配置の変更</t>
    </r>
  </si>
  <si>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安定後に</t>
    </r>
  </si>
  <si>
    <t xml:space="preserve">設備設定</t>
  </si>
  <si>
    <t xml:space="preserve">配管サイズ・材質・部材マスタ等</t>
  </si>
  <si>
    <r>
      <rPr>
        <sz val="10"/>
        <rFont val="Noto Sans CJK SC"/>
        <family val="2"/>
      </rPr>
      <t xml:space="preserve">配管作図の前提データ。</t>
    </r>
    <r>
      <rPr>
        <sz val="10"/>
        <rFont val="Yu Gothic"/>
        <family val="0"/>
        <charset val="1"/>
      </rPr>
      <t xml:space="preserve">MVP</t>
    </r>
    <r>
      <rPr>
        <sz val="10"/>
        <rFont val="Noto Sans CJK SC"/>
        <family val="2"/>
      </rPr>
      <t xml:space="preserve">から必要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内容は最小構成で</t>
    </r>
    <r>
      <rPr>
        <sz val="10"/>
        <rFont val="Yu Gothic"/>
        <family val="0"/>
        <charset val="1"/>
      </rPr>
      <t xml:space="preserve">)</t>
    </r>
  </si>
  <si>
    <t xml:space="preserve">躯体設定</t>
  </si>
  <si>
    <t xml:space="preserve">躯体作図の設定</t>
  </si>
  <si>
    <r>
      <rPr>
        <sz val="10"/>
        <rFont val="Noto Sans CJK SC"/>
        <family val="2"/>
      </rPr>
      <t xml:space="preserve">躯体作図を</t>
    </r>
    <r>
      <rPr>
        <sz val="10"/>
        <rFont val="Yu Gothic"/>
        <family val="0"/>
        <charset val="1"/>
      </rPr>
      <t xml:space="preserve">v2</t>
    </r>
    <r>
      <rPr>
        <sz val="10"/>
        <rFont val="Noto Sans CJK SC"/>
        <family val="2"/>
      </rPr>
      <t xml:space="preserve">に回すため連動して後回し</t>
    </r>
  </si>
  <si>
    <t xml:space="preserve">データ変換設定</t>
  </si>
  <si>
    <r>
      <rPr>
        <sz val="10"/>
        <rFont val="Yu Gothic"/>
        <family val="0"/>
        <charset val="1"/>
      </rPr>
      <t xml:space="preserve">DXF</t>
    </r>
    <r>
      <rPr>
        <sz val="10"/>
        <rFont val="Noto Sans CJK SC"/>
        <family val="2"/>
      </rPr>
      <t xml:space="preserve">等変換時の対応付け設定</t>
    </r>
  </si>
  <si>
    <r>
      <rPr>
        <sz val="10"/>
        <rFont val="Noto Sans CJK SC"/>
        <family val="2"/>
      </rPr>
      <t xml:space="preserve">インポート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エクスポートの品質を左右する</t>
    </r>
  </si>
  <si>
    <t xml:space="preserve">基本作図</t>
  </si>
  <si>
    <r>
      <rPr>
        <sz val="10"/>
        <rFont val="Noto Sans CJK SC"/>
        <family val="2"/>
      </rPr>
      <t xml:space="preserve">作図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線分・円・文字等</t>
    </r>
    <r>
      <rPr>
        <sz val="10"/>
        <rFont val="Yu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</si>
  <si>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汎用</t>
    </r>
    <r>
      <rPr>
        <sz val="10"/>
        <rFont val="Yu Gothic"/>
        <family val="0"/>
        <charset val="1"/>
      </rPr>
      <t xml:space="preserve">2D</t>
    </r>
    <r>
      <rPr>
        <sz val="10"/>
        <rFont val="Noto Sans CJK SC"/>
        <family val="2"/>
      </rPr>
      <t xml:space="preserve">作図</t>
    </r>
  </si>
  <si>
    <t xml:space="preserve">全ての土台。最初に完成度を上げる</t>
  </si>
  <si>
    <t xml:space="preserve">補助・情報</t>
  </si>
  <si>
    <t xml:space="preserve">補助線・計測</t>
  </si>
  <si>
    <t xml:space="preserve">作図精度の確保に必要</t>
  </si>
  <si>
    <r>
      <rPr>
        <sz val="10"/>
        <rFont val="Noto Sans CJK SC"/>
        <family val="2"/>
      </rPr>
      <t xml:space="preserve">編集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移動・複写・削除・回転等</t>
    </r>
    <r>
      <rPr>
        <sz val="10"/>
        <rFont val="Yu Gothic"/>
        <family val="0"/>
        <charset val="1"/>
      </rPr>
      <t xml:space="preserve">)</t>
    </r>
  </si>
  <si>
    <t xml:space="preserve">汎用編集</t>
  </si>
  <si>
    <t xml:space="preserve">作図とセットで必須</t>
  </si>
  <si>
    <t xml:space="preserve">表</t>
  </si>
  <si>
    <t xml:space="preserve">表の作成・編集</t>
  </si>
  <si>
    <t xml:space="preserve">機器表等が必要になる段階で</t>
  </si>
  <si>
    <t xml:space="preserve">衛生配管</t>
  </si>
  <si>
    <t xml:space="preserve">作図</t>
  </si>
  <si>
    <t xml:space="preserve">給水・給湯・排水等の配管作図</t>
  </si>
  <si>
    <t xml:space="preserve">対象分野の中核。単線表現から始めるのが現実的</t>
  </si>
  <si>
    <t xml:space="preserve">配管情報の確認・計測</t>
  </si>
  <si>
    <t xml:space="preserve">作図とセット</t>
  </si>
  <si>
    <t xml:space="preserve">傍記</t>
  </si>
  <si>
    <t xml:space="preserve">サイズ・用途の記入</t>
  </si>
  <si>
    <t xml:space="preserve">傍記のない設備図は成立しない</t>
  </si>
  <si>
    <t xml:space="preserve">編集・設備編集</t>
  </si>
  <si>
    <t xml:space="preserve">配管の編集・サイズ変更等</t>
  </si>
  <si>
    <t xml:space="preserve">空調配管</t>
  </si>
  <si>
    <t xml:space="preserve">冷温水・冷媒等の配管作図</t>
  </si>
  <si>
    <t xml:space="preserve">対象分野の中核</t>
  </si>
  <si>
    <t xml:space="preserve">サイズ・系統の記入</t>
  </si>
  <si>
    <t xml:space="preserve">同上</t>
  </si>
  <si>
    <t xml:space="preserve">ダクト</t>
  </si>
  <si>
    <t xml:space="preserve">角・丸ダクトの作図</t>
  </si>
  <si>
    <r>
      <rPr>
        <sz val="10"/>
        <rFont val="Noto Sans CJK SC"/>
        <family val="2"/>
      </rPr>
      <t xml:space="preserve">空調業務に必要。ただし配管より後の実装順</t>
    </r>
    <r>
      <rPr>
        <sz val="10"/>
        <rFont val="Yu Gothic"/>
        <family val="0"/>
        <charset val="1"/>
      </rPr>
      <t xml:space="preserve">(v1.1)</t>
    </r>
    <r>
      <rPr>
        <sz val="10"/>
        <rFont val="Noto Sans CJK SC"/>
        <family val="2"/>
      </rPr>
      <t xml:space="preserve">でも成立</t>
    </r>
  </si>
  <si>
    <t xml:space="preserve">ダクト情報の確認・計測</t>
  </si>
  <si>
    <t xml:space="preserve">ダクトの編集・サイズ変更等</t>
  </si>
  <si>
    <t xml:space="preserve">電気</t>
  </si>
  <si>
    <t xml:space="preserve">作図・編集・設備編集</t>
  </si>
  <si>
    <t xml:space="preserve">電気設備の作図・編集</t>
  </si>
  <si>
    <t xml:space="preserve">対象分野には含めるが、機械設備を先に完成させる</t>
  </si>
  <si>
    <t xml:space="preserve">パナソニック照明</t>
  </si>
  <si>
    <t xml:space="preserve">メーカー照明器具連携</t>
  </si>
  <si>
    <r>
      <rPr>
        <sz val="10"/>
        <rFont val="Noto Sans CJK SC"/>
        <family val="2"/>
      </rPr>
      <t xml:space="preserve">特定メーカー連携は</t>
    </r>
    <r>
      <rPr>
        <sz val="10"/>
        <rFont val="Yu Gothic"/>
        <family val="0"/>
        <charset val="1"/>
      </rPr>
      <t xml:space="preserve">MepCad</t>
    </r>
    <r>
      <rPr>
        <sz val="10"/>
        <rFont val="Noto Sans CJK SC"/>
        <family val="2"/>
      </rPr>
      <t xml:space="preserve">では対象外でよい</t>
    </r>
  </si>
  <si>
    <t xml:space="preserve">補助・情報・傍記</t>
  </si>
  <si>
    <t xml:space="preserve">電気設備の情報・傍記</t>
  </si>
  <si>
    <t xml:space="preserve">電気作図と同時期に</t>
  </si>
  <si>
    <t xml:space="preserve">ツール</t>
  </si>
  <si>
    <t xml:space="preserve">作図・補助・情報</t>
  </si>
  <si>
    <t xml:space="preserve">汎用ツール類</t>
  </si>
  <si>
    <t xml:space="preserve">基本作図で代替可の範囲から順次</t>
  </si>
  <si>
    <t xml:space="preserve">アイソメ</t>
  </si>
  <si>
    <t xml:space="preserve">配管アイソメ図の作成</t>
  </si>
  <si>
    <r>
      <rPr>
        <sz val="10"/>
        <rFont val="Noto Sans CJK SC"/>
        <family val="2"/>
      </rPr>
      <t xml:space="preserve">配管業務では有用。</t>
    </r>
    <r>
      <rPr>
        <sz val="10"/>
        <rFont val="Yu Gothic"/>
        <family val="0"/>
        <charset val="1"/>
      </rPr>
      <t xml:space="preserve">v2</t>
    </r>
    <r>
      <rPr>
        <sz val="10"/>
        <rFont val="Noto Sans CJK SC"/>
        <family val="2"/>
      </rPr>
      <t xml:space="preserve">の目玉候補</t>
    </r>
  </si>
  <si>
    <t xml:space="preserve">材料集計</t>
  </si>
  <si>
    <t xml:space="preserve">配管・ダクトの材料拾い集計</t>
  </si>
  <si>
    <r>
      <rPr>
        <sz val="10"/>
        <rFont val="Noto Sans CJK SC"/>
        <family val="2"/>
      </rPr>
      <t xml:space="preserve">見積・発注に効く。</t>
    </r>
    <r>
      <rPr>
        <sz val="10"/>
        <rFont val="Yu Gothic"/>
        <family val="0"/>
        <charset val="1"/>
      </rPr>
      <t xml:space="preserve">v2</t>
    </r>
    <r>
      <rPr>
        <sz val="10"/>
        <rFont val="Noto Sans CJK SC"/>
        <family val="2"/>
      </rPr>
      <t xml:space="preserve">の有力候補</t>
    </r>
  </si>
  <si>
    <t xml:space="preserve">図面比較・その他ツール</t>
  </si>
  <si>
    <t xml:space="preserve">差分・各種ユーティリティ</t>
  </si>
  <si>
    <t xml:space="preserve">優先度低</t>
  </si>
  <si>
    <t xml:space="preserve">画像ツール</t>
  </si>
  <si>
    <r>
      <rPr>
        <sz val="10"/>
        <rFont val="Noto Sans CJK SC"/>
        <family val="2"/>
      </rPr>
      <t xml:space="preserve">画像・</t>
    </r>
    <r>
      <rPr>
        <sz val="10"/>
        <rFont val="Yu Gothic"/>
        <family val="0"/>
        <charset val="1"/>
      </rPr>
      <t xml:space="preserve">PDF</t>
    </r>
    <r>
      <rPr>
        <sz val="10"/>
        <rFont val="Noto Sans CJK SC"/>
        <family val="2"/>
      </rPr>
      <t xml:space="preserve">取込</t>
    </r>
  </si>
  <si>
    <r>
      <rPr>
        <sz val="10"/>
        <rFont val="Yu Gothic"/>
        <family val="0"/>
        <charset val="1"/>
      </rPr>
      <t xml:space="preserve">PDF</t>
    </r>
    <r>
      <rPr>
        <sz val="10"/>
        <rFont val="Noto Sans CJK SC"/>
        <family val="2"/>
      </rPr>
      <t xml:space="preserve">・画像を下敷きとして配置</t>
    </r>
  </si>
  <si>
    <r>
      <rPr>
        <sz val="10"/>
        <rFont val="Noto Sans CJK SC"/>
        <family val="2"/>
      </rPr>
      <t xml:space="preserve">建築図</t>
    </r>
    <r>
      <rPr>
        <sz val="10"/>
        <rFont val="Yu Gothic"/>
        <family val="0"/>
        <charset val="1"/>
      </rPr>
      <t xml:space="preserve">PDF</t>
    </r>
    <r>
      <rPr>
        <sz val="10"/>
        <rFont val="Noto Sans CJK SC"/>
        <family val="2"/>
      </rPr>
      <t xml:space="preserve">の下敷きは実務で頻出。躯体作図を</t>
    </r>
    <r>
      <rPr>
        <sz val="10"/>
        <rFont val="Yu Gothic"/>
        <family val="0"/>
        <charset val="1"/>
      </rPr>
      <t xml:space="preserve">v2</t>
    </r>
    <r>
      <rPr>
        <sz val="10"/>
        <rFont val="Noto Sans CJK SC"/>
        <family val="2"/>
      </rPr>
      <t xml:space="preserve">に回す代替手段としても重要</t>
    </r>
  </si>
  <si>
    <t xml:space="preserve">画像編集</t>
  </si>
  <si>
    <t xml:space="preserve">取込画像のトリミング・補正</t>
  </si>
  <si>
    <t xml:space="preserve">配置・縮尺合わせができれば当面十分</t>
  </si>
  <si>
    <t xml:space="preserve">補助・情報・出力</t>
  </si>
  <si>
    <t xml:space="preserve">画像関連の補助・出力</t>
  </si>
  <si>
    <t xml:space="preserve">設計ツール</t>
  </si>
  <si>
    <t xml:space="preserve">機器表</t>
  </si>
  <si>
    <t xml:space="preserve">機器一覧表の作成</t>
  </si>
  <si>
    <r>
      <rPr>
        <sz val="10"/>
        <rFont val="Noto Sans CJK SC"/>
        <family val="2"/>
      </rPr>
      <t xml:space="preserve">表機能とセットで</t>
    </r>
    <r>
      <rPr>
        <sz val="10"/>
        <rFont val="Yu Gothic"/>
        <family val="0"/>
        <charset val="1"/>
      </rPr>
      <t xml:space="preserve">v2</t>
    </r>
    <r>
      <rPr>
        <sz val="10"/>
        <rFont val="Noto Sans CJK SC"/>
        <family val="2"/>
      </rPr>
      <t xml:space="preserve">に</t>
    </r>
  </si>
  <si>
    <t xml:space="preserve">計算機能</t>
  </si>
  <si>
    <t xml:space="preserve">流量計算等の設計計算</t>
  </si>
  <si>
    <t xml:space="preserve">既存の流量計算ツールとの連携という選択肢もあり</t>
  </si>
  <si>
    <t xml:space="preserve">見積連動</t>
  </si>
  <si>
    <t xml:space="preserve">区分追加・拾い情報・拾い・設定</t>
  </si>
  <si>
    <t xml:space="preserve">見積ソフトとの連動一式</t>
  </si>
  <si>
    <r>
      <rPr>
        <sz val="10"/>
        <rFont val="Yu Gothic"/>
        <family val="0"/>
        <charset val="1"/>
      </rPr>
      <t xml:space="preserve">FILDER</t>
    </r>
    <r>
      <rPr>
        <sz val="10"/>
        <rFont val="Noto Sans CJK SC"/>
        <family val="2"/>
      </rPr>
      <t xml:space="preserve">固有の外部見積ソフト連動。</t>
    </r>
    <r>
      <rPr>
        <sz val="10"/>
        <rFont val="Yu Gothic"/>
        <family val="0"/>
        <charset val="1"/>
      </rPr>
      <t xml:space="preserve">MepCad</t>
    </r>
    <r>
      <rPr>
        <sz val="10"/>
        <rFont val="Noto Sans CJK SC"/>
        <family val="2"/>
      </rPr>
      <t xml:space="preserve">では材料集計</t>
    </r>
    <r>
      <rPr>
        <sz val="10"/>
        <rFont val="Yu Gothic"/>
        <family val="0"/>
        <charset val="1"/>
      </rPr>
      <t xml:space="preserve">(v2)</t>
    </r>
    <r>
      <rPr>
        <sz val="10"/>
        <rFont val="Noto Sans CJK SC"/>
        <family val="2"/>
      </rPr>
      <t xml:space="preserve">で代替</t>
    </r>
  </si>
  <si>
    <t xml:space="preserve">作図・補助・情報・傍記</t>
  </si>
  <si>
    <t xml:space="preserve">引出線・注記の作図</t>
  </si>
  <si>
    <t xml:space="preserve">図面表現に必須</t>
  </si>
  <si>
    <t xml:space="preserve">配管記号</t>
  </si>
  <si>
    <t xml:space="preserve">バルブ・継手等の記号</t>
  </si>
  <si>
    <t xml:space="preserve">配管図に必須の記号ライブラリ</t>
  </si>
  <si>
    <t xml:space="preserve">ダクト記号</t>
  </si>
  <si>
    <t xml:space="preserve">ダンパー・制気口等の記号</t>
  </si>
  <si>
    <t xml:space="preserve">ダクト図に必須</t>
  </si>
  <si>
    <t xml:space="preserve">電気記号</t>
  </si>
  <si>
    <t xml:space="preserve">電気設備記号</t>
  </si>
  <si>
    <t xml:space="preserve">建築躯体</t>
  </si>
  <si>
    <t xml:space="preserve">階情報</t>
  </si>
  <si>
    <t xml:space="preserve">階高・階の管理</t>
  </si>
  <si>
    <r>
      <rPr>
        <sz val="10"/>
        <rFont val="Yu Gothic"/>
        <family val="0"/>
        <charset val="1"/>
      </rPr>
      <t xml:space="preserve">2D</t>
    </r>
    <r>
      <rPr>
        <sz val="10"/>
        <rFont val="Noto Sans CJK SC"/>
        <family val="2"/>
      </rPr>
      <t xml:space="preserve">中心の</t>
    </r>
    <r>
      <rPr>
        <sz val="10"/>
        <rFont val="Yu Gothic"/>
        <family val="0"/>
        <charset val="1"/>
      </rPr>
      <t xml:space="preserve">MVP</t>
    </r>
    <r>
      <rPr>
        <sz val="10"/>
        <rFont val="Noto Sans CJK SC"/>
        <family val="2"/>
      </rPr>
      <t xml:space="preserve">では簡略化可</t>
    </r>
  </si>
  <si>
    <r>
      <rPr>
        <sz val="10"/>
        <rFont val="Noto Sans CJK SC"/>
        <family val="2"/>
      </rPr>
      <t xml:space="preserve">作図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通り芯・壁・柱等</t>
    </r>
    <r>
      <rPr>
        <sz val="10"/>
        <rFont val="Yu Gothic"/>
        <family val="0"/>
        <charset val="1"/>
      </rPr>
      <t xml:space="preserve">)</t>
    </r>
  </si>
  <si>
    <t xml:space="preserve">躯体の作図</t>
  </si>
  <si>
    <r>
      <rPr>
        <sz val="10"/>
        <rFont val="Yu Gothic"/>
        <family val="0"/>
        <charset val="1"/>
      </rPr>
      <t xml:space="preserve">MVP</t>
    </r>
    <r>
      <rPr>
        <sz val="10"/>
        <rFont val="Noto Sans CJK SC"/>
        <family val="2"/>
      </rPr>
      <t xml:space="preserve">は</t>
    </r>
    <r>
      <rPr>
        <sz val="10"/>
        <rFont val="Yu Gothic"/>
        <family val="0"/>
        <charset val="1"/>
      </rPr>
      <t xml:space="preserve">PDF/DXF</t>
    </r>
    <r>
      <rPr>
        <sz val="10"/>
        <rFont val="Noto Sans CJK SC"/>
        <family val="2"/>
      </rPr>
      <t xml:space="preserve">下敷きで代替。ただし通り芯だけは</t>
    </r>
    <r>
      <rPr>
        <sz val="10"/>
        <rFont val="Yu Gothic"/>
        <family val="0"/>
        <charset val="1"/>
      </rPr>
      <t xml:space="preserve">MVP</t>
    </r>
    <r>
      <rPr>
        <sz val="10"/>
        <rFont val="Noto Sans CJK SC"/>
        <family val="2"/>
      </rPr>
      <t xml:space="preserve">入りの検討余地あり</t>
    </r>
  </si>
  <si>
    <t xml:space="preserve">編集・躯体編集・設定・躯体化</t>
  </si>
  <si>
    <t xml:space="preserve">躯体の編集一式</t>
  </si>
  <si>
    <t xml:space="preserve">躯体作図と同時期に</t>
  </si>
  <si>
    <t xml:space="preserve">旧建築躯体</t>
  </si>
  <si>
    <t xml:space="preserve">一式</t>
  </si>
  <si>
    <t xml:space="preserve">旧方式の躯体作図</t>
  </si>
  <si>
    <r>
      <rPr>
        <sz val="10"/>
        <rFont val="Noto Sans CJK SC"/>
        <family val="2"/>
      </rPr>
      <t xml:space="preserve">旧互換機能。新規開発の</t>
    </r>
    <r>
      <rPr>
        <sz val="10"/>
        <rFont val="Yu Gothic"/>
        <family val="0"/>
        <charset val="1"/>
      </rPr>
      <t xml:space="preserve">MepCad</t>
    </r>
    <r>
      <rPr>
        <sz val="10"/>
        <rFont val="Noto Sans CJK SC"/>
        <family val="2"/>
      </rPr>
      <t xml:space="preserve">には不要</t>
    </r>
  </si>
  <si>
    <t xml:space="preserve">表示</t>
  </si>
  <si>
    <t xml:space="preserve">表示制御</t>
  </si>
  <si>
    <t xml:space="preserve">図形種別ごとの表示切替</t>
  </si>
  <si>
    <t xml:space="preserve">設備図は要素が多く表示制御は必須</t>
  </si>
  <si>
    <t xml:space="preserve">ズーム</t>
  </si>
  <si>
    <t xml:space="preserve">拡大・縮小・全体表示</t>
  </si>
  <si>
    <r>
      <rPr>
        <sz val="10"/>
        <rFont val="Noto Sans CJK SC"/>
        <family val="2"/>
      </rPr>
      <t xml:space="preserve">必須。トラックパッドのピンチ操作対応も</t>
    </r>
    <r>
      <rPr>
        <sz val="10"/>
        <rFont val="Yu Gothic"/>
        <family val="0"/>
        <charset val="1"/>
      </rPr>
      <t xml:space="preserve">Mac</t>
    </r>
    <r>
      <rPr>
        <sz val="10"/>
        <rFont val="Noto Sans CJK SC"/>
        <family val="2"/>
      </rPr>
      <t xml:space="preserve">らしさの要</t>
    </r>
  </si>
  <si>
    <t xml:space="preserve">ウィンドウ</t>
  </si>
  <si>
    <t xml:space="preserve">ウィンドウ整列・切替</t>
  </si>
  <si>
    <r>
      <rPr>
        <sz val="10"/>
        <rFont val="Yu Gothic"/>
        <family val="0"/>
        <charset val="1"/>
      </rPr>
      <t xml:space="preserve">macOS</t>
    </r>
    <r>
      <rPr>
        <sz val="10"/>
        <rFont val="Noto Sans CJK SC"/>
        <family val="2"/>
      </rPr>
      <t xml:space="preserve">標準の作法に合わせて実装</t>
    </r>
  </si>
  <si>
    <t xml:space="preserve">ツールバー表示</t>
  </si>
  <si>
    <t xml:space="preserve">ツールバーの表示選択</t>
  </si>
  <si>
    <t xml:space="preserve">カスタマイズ系は後回し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</si>
</sst>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Yu Gothic"/>
      <family val="0"/>
      <charset val="1"/>
    </font>
    <font>
      <b val="true"/>
      <sz val="16"/>
      <color rgb="FF1F3864"/>
      <name val="Noto Sans CJK SC"/>
      <family val="2"/>
    </font>
    <font>
      <sz val="10"/>
      <color rgb="FF000000"/>
      <name val="Yu Gothic"/>
      <family val="0"/>
      <charset val="1"/>
    </font>
    <font>
      <sz val="10"/>
      <color rgb="FF000000"/>
      <name val="Noto Sans CJK SC"/>
      <family val="2"/>
    </font>
    <font>
      <b val="true"/>
      <sz val="11"/>
      <color rgb="FFC00000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Yu Gothic"/>
      <family val="0"/>
      <charset val="1"/>
    </font>
    <font>
      <b val="true"/>
      <sz val="10"/>
      <name val="Yu Gothic"/>
      <family val="0"/>
      <charset val="1"/>
    </font>
    <font>
      <b val="true"/>
      <sz val="12"/>
      <color rgb="FF1F3864"/>
      <name val="Yu Gothic"/>
      <family val="0"/>
      <charset val="1"/>
    </font>
    <font>
      <b val="true"/>
      <sz val="12"/>
      <color rgb="FF1F3864"/>
      <name val="Noto Sans CJK SC"/>
      <family val="2"/>
    </font>
    <font>
      <b val="true"/>
      <sz val="10"/>
      <color rgb="FFFFFFFF"/>
      <name val="Yu Gothic"/>
      <family val="0"/>
      <charset val="1"/>
    </font>
    <font>
      <b val="true"/>
      <sz val="10"/>
      <color rgb="FFFFFFFF"/>
      <name val="Noto Sans CJK SC"/>
      <family val="2"/>
    </font>
    <font>
      <sz val="10"/>
      <name val="Yu Gothic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90"/>
  </cols>
  <sheetData>
    <row r="2" customFormat="false" ht="86.55" hidden="false" customHeight="false" outlineLevel="0" collapsed="false">
      <c r="B2" s="1" t="s">
        <v>0</v>
      </c>
    </row>
    <row r="3" customFormat="false" ht="114.9" hidden="false" customHeight="false" outlineLevel="0" collapsed="false">
      <c r="B3" s="2" t="s">
        <v>1</v>
      </c>
    </row>
    <row r="5" customFormat="false" ht="17.15" hidden="false" customHeight="false" outlineLevel="0" collapsed="false">
      <c r="B5" s="3" t="s">
        <v>2</v>
      </c>
    </row>
    <row r="6" customFormat="false" ht="72.35" hidden="false" customHeight="false" outlineLevel="0" collapsed="false">
      <c r="B6" s="2" t="s">
        <v>3</v>
      </c>
    </row>
    <row r="7" customFormat="false" ht="72.35" hidden="false" customHeight="false" outlineLevel="0" collapsed="false">
      <c r="B7" s="2" t="s">
        <v>4</v>
      </c>
    </row>
    <row r="8" customFormat="false" ht="58.2" hidden="false" customHeight="false" outlineLevel="0" collapsed="false">
      <c r="B8" s="2" t="s">
        <v>5</v>
      </c>
    </row>
    <row r="9" customFormat="false" ht="86.55" hidden="false" customHeight="false" outlineLevel="0" collapsed="false">
      <c r="B9" s="2" t="s">
        <v>6</v>
      </c>
    </row>
    <row r="11" customFormat="false" ht="17.15" hidden="false" customHeight="false" outlineLevel="0" collapsed="false">
      <c r="B11" s="3" t="s">
        <v>7</v>
      </c>
    </row>
    <row r="12" customFormat="false" ht="100.7" hidden="false" customHeight="false" outlineLevel="0" collapsed="false">
      <c r="B12" s="4" t="s">
        <v>8</v>
      </c>
    </row>
    <row r="14" customFormat="false" ht="86.55" hidden="false" customHeight="false" outlineLevel="0" collapsed="false">
      <c r="B14" s="4" t="s">
        <v>9</v>
      </c>
    </row>
    <row r="16" customFormat="false" ht="32.8" hidden="false" customHeight="false" outlineLevel="0" collapsed="false">
      <c r="B16" s="5" t="s">
        <v>10</v>
      </c>
    </row>
    <row r="17" customFormat="false" ht="15" hidden="false" customHeight="false" outlineLevel="0" collapsed="false">
      <c r="B17" s="4" t="s">
        <v>11</v>
      </c>
      <c r="C17" s="6" t="n">
        <f aca="false">COUNTIF(仕分けリスト!G3:G82,"要(MVP)")</f>
        <v>0</v>
      </c>
    </row>
    <row r="18" customFormat="false" ht="15" hidden="false" customHeight="false" outlineLevel="0" collapsed="false">
      <c r="B18" s="4" t="s">
        <v>12</v>
      </c>
      <c r="C18" s="6" t="n">
        <f aca="false">COUNTIF(仕分けリスト!G3:G82,"後で(v2以降)")</f>
        <v>0</v>
      </c>
    </row>
    <row r="19" customFormat="false" ht="15" hidden="false" customHeight="false" outlineLevel="0" collapsed="false">
      <c r="B19" s="4" t="s">
        <v>13</v>
      </c>
      <c r="C19" s="6" t="n">
        <f aca="false">COUNTIF(仕分けリスト!G3:G82,"不要")</f>
        <v>0</v>
      </c>
    </row>
    <row r="20" customFormat="false" ht="15" hidden="false" customHeight="false" outlineLevel="0" collapsed="false">
      <c r="B20" s="4" t="s">
        <v>14</v>
      </c>
      <c r="C20" s="6" t="n">
        <f aca="false">COUNTIF(仕分けリスト!G3:G82,"未定")</f>
        <v>0</v>
      </c>
    </row>
    <row r="21" customFormat="false" ht="15" hidden="false" customHeight="false" outlineLevel="0" collapsed="false">
      <c r="B21" s="4" t="s">
        <v>15</v>
      </c>
      <c r="C21" s="6" t="n">
        <f aca="false">COUNTBLANK(仕分けリスト!G3:G82)</f>
        <v>80</v>
      </c>
    </row>
    <row r="23" customFormat="false" ht="58.2" hidden="false" customHeight="false" outlineLevel="0" collapsed="false">
      <c r="B23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7" t="s">
        <v>17</v>
      </c>
    </row>
    <row r="2" customFormat="false" ht="27.75" hidden="false" customHeight="true" outlineLevel="0" collapsed="false">
      <c r="A2" s="8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</row>
    <row r="3" customFormat="false" ht="29.85" hidden="false" customHeight="false" outlineLevel="0" collapsed="false">
      <c r="A3" s="10" t="n">
        <v>1</v>
      </c>
      <c r="B3" s="11" t="s">
        <v>26</v>
      </c>
      <c r="C3" s="11" t="s">
        <v>27</v>
      </c>
      <c r="D3" s="11" t="s">
        <v>28</v>
      </c>
      <c r="E3" s="12" t="s">
        <v>29</v>
      </c>
      <c r="F3" s="13" t="s">
        <v>30</v>
      </c>
      <c r="G3" s="14"/>
      <c r="H3" s="15"/>
    </row>
    <row r="4" customFormat="false" ht="29.85" hidden="false" customHeight="false" outlineLevel="0" collapsed="false">
      <c r="A4" s="10" t="n">
        <v>2</v>
      </c>
      <c r="B4" s="11" t="s">
        <v>26</v>
      </c>
      <c r="C4" s="11" t="s">
        <v>31</v>
      </c>
      <c r="D4" s="13" t="s">
        <v>32</v>
      </c>
      <c r="E4" s="12" t="s">
        <v>29</v>
      </c>
      <c r="F4" s="11" t="s">
        <v>33</v>
      </c>
      <c r="G4" s="14"/>
      <c r="H4" s="15"/>
    </row>
    <row r="5" customFormat="false" ht="15" hidden="false" customHeight="false" outlineLevel="0" collapsed="false">
      <c r="A5" s="10" t="n">
        <v>3</v>
      </c>
      <c r="B5" s="11" t="s">
        <v>26</v>
      </c>
      <c r="C5" s="11" t="s">
        <v>34</v>
      </c>
      <c r="D5" s="11" t="s">
        <v>35</v>
      </c>
      <c r="E5" s="16" t="s">
        <v>36</v>
      </c>
      <c r="F5" s="11" t="s">
        <v>37</v>
      </c>
      <c r="G5" s="14"/>
      <c r="H5" s="15"/>
    </row>
    <row r="6" customFormat="false" ht="15" hidden="false" customHeight="false" outlineLevel="0" collapsed="false">
      <c r="A6" s="10" t="n">
        <v>4</v>
      </c>
      <c r="B6" s="11" t="s">
        <v>26</v>
      </c>
      <c r="C6" s="11" t="s">
        <v>38</v>
      </c>
      <c r="D6" s="11" t="s">
        <v>39</v>
      </c>
      <c r="E6" s="12" t="s">
        <v>29</v>
      </c>
      <c r="F6" s="11" t="s">
        <v>40</v>
      </c>
      <c r="G6" s="14"/>
      <c r="H6" s="15"/>
    </row>
    <row r="7" customFormat="false" ht="15" hidden="false" customHeight="false" outlineLevel="0" collapsed="false">
      <c r="A7" s="10" t="n">
        <v>5</v>
      </c>
      <c r="B7" s="11" t="s">
        <v>26</v>
      </c>
      <c r="C7" s="11" t="s">
        <v>41</v>
      </c>
      <c r="D7" s="11" t="s">
        <v>42</v>
      </c>
      <c r="E7" s="16" t="s">
        <v>36</v>
      </c>
      <c r="F7" s="11" t="s">
        <v>43</v>
      </c>
      <c r="G7" s="14"/>
      <c r="H7" s="15"/>
    </row>
    <row r="8" customFormat="false" ht="15" hidden="false" customHeight="false" outlineLevel="0" collapsed="false">
      <c r="A8" s="10" t="n">
        <v>6</v>
      </c>
      <c r="B8" s="11" t="s">
        <v>26</v>
      </c>
      <c r="C8" s="11" t="s">
        <v>44</v>
      </c>
      <c r="D8" s="11" t="s">
        <v>45</v>
      </c>
      <c r="E8" s="16" t="s">
        <v>36</v>
      </c>
      <c r="F8" s="11" t="s">
        <v>46</v>
      </c>
      <c r="G8" s="14"/>
      <c r="H8" s="15"/>
    </row>
    <row r="9" customFormat="false" ht="15" hidden="false" customHeight="false" outlineLevel="0" collapsed="false">
      <c r="A9" s="10" t="n">
        <v>7</v>
      </c>
      <c r="B9" s="11" t="s">
        <v>26</v>
      </c>
      <c r="C9" s="11" t="s">
        <v>47</v>
      </c>
      <c r="D9" s="11" t="s">
        <v>48</v>
      </c>
      <c r="E9" s="16" t="s">
        <v>36</v>
      </c>
      <c r="F9" s="11" t="s">
        <v>49</v>
      </c>
      <c r="G9" s="14"/>
      <c r="H9" s="15"/>
    </row>
    <row r="10" customFormat="false" ht="29.85" hidden="false" customHeight="false" outlineLevel="0" collapsed="false">
      <c r="A10" s="10" t="n">
        <v>8</v>
      </c>
      <c r="B10" s="11" t="s">
        <v>50</v>
      </c>
      <c r="C10" s="11" t="s">
        <v>51</v>
      </c>
      <c r="D10" s="11" t="s">
        <v>52</v>
      </c>
      <c r="E10" s="12" t="s">
        <v>29</v>
      </c>
      <c r="F10" s="13" t="s">
        <v>53</v>
      </c>
      <c r="G10" s="14"/>
      <c r="H10" s="15"/>
    </row>
    <row r="11" customFormat="false" ht="29.85" hidden="false" customHeight="false" outlineLevel="0" collapsed="false">
      <c r="A11" s="10" t="n">
        <v>9</v>
      </c>
      <c r="B11" s="11" t="s">
        <v>50</v>
      </c>
      <c r="C11" s="11" t="s">
        <v>54</v>
      </c>
      <c r="D11" s="11" t="s">
        <v>55</v>
      </c>
      <c r="E11" s="12" t="s">
        <v>29</v>
      </c>
      <c r="F11" s="13" t="s">
        <v>56</v>
      </c>
      <c r="G11" s="14"/>
      <c r="H11" s="15"/>
    </row>
    <row r="12" customFormat="false" ht="15" hidden="false" customHeight="false" outlineLevel="0" collapsed="false">
      <c r="A12" s="10" t="n">
        <v>10</v>
      </c>
      <c r="B12" s="11" t="s">
        <v>50</v>
      </c>
      <c r="C12" s="11" t="s">
        <v>57</v>
      </c>
      <c r="D12" s="11" t="s">
        <v>58</v>
      </c>
      <c r="E12" s="12" t="s">
        <v>29</v>
      </c>
      <c r="F12" s="13" t="s">
        <v>59</v>
      </c>
      <c r="G12" s="14"/>
      <c r="H12" s="15"/>
    </row>
    <row r="13" customFormat="false" ht="15" hidden="false" customHeight="false" outlineLevel="0" collapsed="false">
      <c r="A13" s="10" t="n">
        <v>11</v>
      </c>
      <c r="B13" s="11" t="s">
        <v>50</v>
      </c>
      <c r="C13" s="11" t="s">
        <v>60</v>
      </c>
      <c r="D13" s="11" t="s">
        <v>61</v>
      </c>
      <c r="E13" s="12" t="s">
        <v>29</v>
      </c>
      <c r="F13" s="11" t="s">
        <v>62</v>
      </c>
      <c r="G13" s="14"/>
      <c r="H13" s="15"/>
    </row>
    <row r="14" customFormat="false" ht="29.85" hidden="false" customHeight="false" outlineLevel="0" collapsed="false">
      <c r="A14" s="10" t="n">
        <v>12</v>
      </c>
      <c r="B14" s="11" t="s">
        <v>50</v>
      </c>
      <c r="C14" s="11" t="s">
        <v>63</v>
      </c>
      <c r="D14" s="11" t="s">
        <v>64</v>
      </c>
      <c r="E14" s="16" t="s">
        <v>36</v>
      </c>
      <c r="F14" s="11" t="s">
        <v>65</v>
      </c>
      <c r="G14" s="14"/>
      <c r="H14" s="15"/>
    </row>
    <row r="15" customFormat="false" ht="15" hidden="false" customHeight="false" outlineLevel="0" collapsed="false">
      <c r="A15" s="10" t="n">
        <v>13</v>
      </c>
      <c r="B15" s="11" t="s">
        <v>50</v>
      </c>
      <c r="C15" s="11" t="s">
        <v>66</v>
      </c>
      <c r="D15" s="11" t="s">
        <v>67</v>
      </c>
      <c r="E15" s="16" t="s">
        <v>36</v>
      </c>
      <c r="F15" s="11" t="s">
        <v>68</v>
      </c>
      <c r="G15" s="14"/>
      <c r="H15" s="15"/>
    </row>
    <row r="16" customFormat="false" ht="15" hidden="false" customHeight="false" outlineLevel="0" collapsed="false">
      <c r="A16" s="10" t="n">
        <v>14</v>
      </c>
      <c r="B16" s="11" t="s">
        <v>50</v>
      </c>
      <c r="C16" s="11" t="s">
        <v>69</v>
      </c>
      <c r="D16" s="11" t="s">
        <v>70</v>
      </c>
      <c r="E16" s="12" t="s">
        <v>29</v>
      </c>
      <c r="F16" s="11" t="s">
        <v>71</v>
      </c>
      <c r="G16" s="14"/>
      <c r="H16" s="15"/>
    </row>
    <row r="17" customFormat="false" ht="15" hidden="false" customHeight="false" outlineLevel="0" collapsed="false">
      <c r="A17" s="10" t="n">
        <v>15</v>
      </c>
      <c r="B17" s="11" t="s">
        <v>50</v>
      </c>
      <c r="C17" s="11" t="s">
        <v>72</v>
      </c>
      <c r="D17" s="11" t="s">
        <v>73</v>
      </c>
      <c r="E17" s="12" t="s">
        <v>29</v>
      </c>
      <c r="F17" s="11" t="s">
        <v>74</v>
      </c>
      <c r="G17" s="14"/>
      <c r="H17" s="15"/>
    </row>
    <row r="18" customFormat="false" ht="15" hidden="false" customHeight="false" outlineLevel="0" collapsed="false">
      <c r="A18" s="10" t="n">
        <v>16</v>
      </c>
      <c r="B18" s="11" t="s">
        <v>50</v>
      </c>
      <c r="C18" s="11" t="s">
        <v>75</v>
      </c>
      <c r="D18" s="11" t="s">
        <v>76</v>
      </c>
      <c r="E18" s="16" t="s">
        <v>36</v>
      </c>
      <c r="F18" s="11" t="s">
        <v>77</v>
      </c>
      <c r="G18" s="14"/>
      <c r="H18" s="15"/>
    </row>
    <row r="19" customFormat="false" ht="15" hidden="false" customHeight="false" outlineLevel="0" collapsed="false">
      <c r="A19" s="10" t="n">
        <v>17</v>
      </c>
      <c r="B19" s="11" t="s">
        <v>78</v>
      </c>
      <c r="C19" s="13" t="s">
        <v>79</v>
      </c>
      <c r="D19" s="11" t="s">
        <v>80</v>
      </c>
      <c r="E19" s="12" t="s">
        <v>29</v>
      </c>
      <c r="F19" s="11" t="s">
        <v>81</v>
      </c>
      <c r="G19" s="14"/>
      <c r="H19" s="15"/>
    </row>
    <row r="20" customFormat="false" ht="15" hidden="false" customHeight="false" outlineLevel="0" collapsed="false">
      <c r="A20" s="10" t="n">
        <v>18</v>
      </c>
      <c r="B20" s="11" t="s">
        <v>82</v>
      </c>
      <c r="C20" s="11" t="s">
        <v>83</v>
      </c>
      <c r="D20" s="11" t="s">
        <v>84</v>
      </c>
      <c r="E20" s="12" t="s">
        <v>29</v>
      </c>
      <c r="F20" s="13" t="s">
        <v>85</v>
      </c>
      <c r="G20" s="14"/>
      <c r="H20" s="15"/>
    </row>
    <row r="21" customFormat="false" ht="15" hidden="false" customHeight="false" outlineLevel="0" collapsed="false">
      <c r="A21" s="10" t="n">
        <v>19</v>
      </c>
      <c r="B21" s="11" t="s">
        <v>82</v>
      </c>
      <c r="C21" s="11" t="s">
        <v>86</v>
      </c>
      <c r="D21" s="11" t="s">
        <v>87</v>
      </c>
      <c r="E21" s="12" t="s">
        <v>29</v>
      </c>
      <c r="F21" s="11" t="s">
        <v>88</v>
      </c>
      <c r="G21" s="14"/>
      <c r="H21" s="15"/>
    </row>
    <row r="22" customFormat="false" ht="15" hidden="false" customHeight="false" outlineLevel="0" collapsed="false">
      <c r="A22" s="10" t="n">
        <v>20</v>
      </c>
      <c r="B22" s="11" t="s">
        <v>82</v>
      </c>
      <c r="C22" s="11" t="s">
        <v>89</v>
      </c>
      <c r="D22" s="11" t="s">
        <v>90</v>
      </c>
      <c r="E22" s="16" t="s">
        <v>36</v>
      </c>
      <c r="F22" s="11" t="s">
        <v>91</v>
      </c>
      <c r="G22" s="14"/>
      <c r="H22" s="15"/>
    </row>
    <row r="23" customFormat="false" ht="15" hidden="false" customHeight="false" outlineLevel="0" collapsed="false">
      <c r="A23" s="10" t="n">
        <v>21</v>
      </c>
      <c r="B23" s="11" t="s">
        <v>82</v>
      </c>
      <c r="C23" s="11" t="s">
        <v>92</v>
      </c>
      <c r="D23" s="11" t="s">
        <v>93</v>
      </c>
      <c r="E23" s="12" t="s">
        <v>29</v>
      </c>
      <c r="F23" s="11" t="s">
        <v>94</v>
      </c>
      <c r="G23" s="14"/>
      <c r="H23" s="15"/>
    </row>
    <row r="24" customFormat="false" ht="15" hidden="false" customHeight="false" outlineLevel="0" collapsed="false">
      <c r="A24" s="10" t="n">
        <v>22</v>
      </c>
      <c r="B24" s="11" t="s">
        <v>82</v>
      </c>
      <c r="C24" s="11" t="s">
        <v>95</v>
      </c>
      <c r="D24" s="11" t="s">
        <v>96</v>
      </c>
      <c r="E24" s="12" t="s">
        <v>29</v>
      </c>
      <c r="F24" s="11" t="s">
        <v>97</v>
      </c>
      <c r="G24" s="14"/>
      <c r="H24" s="15"/>
    </row>
    <row r="25" customFormat="false" ht="15" hidden="false" customHeight="false" outlineLevel="0" collapsed="false">
      <c r="A25" s="10" t="n">
        <v>23</v>
      </c>
      <c r="B25" s="11" t="s">
        <v>98</v>
      </c>
      <c r="C25" s="11" t="s">
        <v>99</v>
      </c>
      <c r="D25" s="11" t="s">
        <v>100</v>
      </c>
      <c r="E25" s="12" t="s">
        <v>29</v>
      </c>
      <c r="F25" s="11" t="s">
        <v>101</v>
      </c>
      <c r="G25" s="14"/>
      <c r="H25" s="15"/>
    </row>
    <row r="26" customFormat="false" ht="15" hidden="false" customHeight="false" outlineLevel="0" collapsed="false">
      <c r="A26" s="10" t="n">
        <v>24</v>
      </c>
      <c r="B26" s="11" t="s">
        <v>98</v>
      </c>
      <c r="C26" s="11" t="s">
        <v>102</v>
      </c>
      <c r="D26" s="11" t="s">
        <v>103</v>
      </c>
      <c r="E26" s="12" t="s">
        <v>29</v>
      </c>
      <c r="F26" s="11" t="s">
        <v>104</v>
      </c>
      <c r="G26" s="14"/>
      <c r="H26" s="15"/>
    </row>
    <row r="27" customFormat="false" ht="15" hidden="false" customHeight="false" outlineLevel="0" collapsed="false">
      <c r="A27" s="10" t="n">
        <v>25</v>
      </c>
      <c r="B27" s="11" t="s">
        <v>98</v>
      </c>
      <c r="C27" s="11" t="s">
        <v>105</v>
      </c>
      <c r="D27" s="11" t="s">
        <v>106</v>
      </c>
      <c r="E27" s="16" t="s">
        <v>36</v>
      </c>
      <c r="F27" s="11" t="s">
        <v>107</v>
      </c>
      <c r="G27" s="14"/>
      <c r="H27" s="15"/>
    </row>
    <row r="28" customFormat="false" ht="15" hidden="false" customHeight="false" outlineLevel="0" collapsed="false">
      <c r="A28" s="10" t="n">
        <v>26</v>
      </c>
      <c r="B28" s="11" t="s">
        <v>98</v>
      </c>
      <c r="C28" s="11" t="s">
        <v>108</v>
      </c>
      <c r="D28" s="11" t="s">
        <v>109</v>
      </c>
      <c r="E28" s="12" t="s">
        <v>29</v>
      </c>
      <c r="F28" s="11" t="s">
        <v>110</v>
      </c>
      <c r="G28" s="14"/>
      <c r="H28" s="15"/>
    </row>
    <row r="29" customFormat="false" ht="15" hidden="false" customHeight="false" outlineLevel="0" collapsed="false">
      <c r="A29" s="10" t="n">
        <v>27</v>
      </c>
      <c r="B29" s="11" t="s">
        <v>111</v>
      </c>
      <c r="C29" s="11" t="s">
        <v>112</v>
      </c>
      <c r="D29" s="11" t="s">
        <v>113</v>
      </c>
      <c r="E29" s="12" t="s">
        <v>29</v>
      </c>
      <c r="F29" s="11" t="s">
        <v>114</v>
      </c>
      <c r="G29" s="14"/>
      <c r="H29" s="15"/>
    </row>
    <row r="30" customFormat="false" ht="29.85" hidden="false" customHeight="false" outlineLevel="0" collapsed="false">
      <c r="A30" s="10" t="n">
        <v>28</v>
      </c>
      <c r="B30" s="11" t="s">
        <v>115</v>
      </c>
      <c r="C30" s="11" t="s">
        <v>116</v>
      </c>
      <c r="D30" s="11" t="s">
        <v>117</v>
      </c>
      <c r="E30" s="16" t="s">
        <v>36</v>
      </c>
      <c r="F30" s="13" t="s">
        <v>118</v>
      </c>
      <c r="G30" s="14"/>
      <c r="H30" s="15"/>
    </row>
    <row r="31" customFormat="false" ht="15" hidden="false" customHeight="false" outlineLevel="0" collapsed="false">
      <c r="A31" s="10" t="n">
        <v>29</v>
      </c>
      <c r="B31" s="11" t="s">
        <v>119</v>
      </c>
      <c r="C31" s="13" t="s">
        <v>120</v>
      </c>
      <c r="D31" s="13" t="s">
        <v>121</v>
      </c>
      <c r="E31" s="17" t="s">
        <v>13</v>
      </c>
      <c r="F31" s="13" t="s">
        <v>122</v>
      </c>
      <c r="G31" s="14"/>
      <c r="H31" s="15"/>
    </row>
    <row r="32" customFormat="false" ht="15" hidden="false" customHeight="false" outlineLevel="0" collapsed="false">
      <c r="A32" s="10" t="n">
        <v>30</v>
      </c>
      <c r="B32" s="11" t="s">
        <v>123</v>
      </c>
      <c r="C32" s="11" t="s">
        <v>124</v>
      </c>
      <c r="D32" s="13" t="s">
        <v>125</v>
      </c>
      <c r="E32" s="16" t="s">
        <v>36</v>
      </c>
      <c r="F32" s="11" t="s">
        <v>126</v>
      </c>
      <c r="G32" s="14"/>
      <c r="H32" s="15"/>
    </row>
    <row r="33" customFormat="false" ht="15" hidden="false" customHeight="false" outlineLevel="0" collapsed="false">
      <c r="A33" s="10" t="n">
        <v>31</v>
      </c>
      <c r="B33" s="11" t="s">
        <v>123</v>
      </c>
      <c r="C33" s="11" t="s">
        <v>127</v>
      </c>
      <c r="D33" s="11" t="s">
        <v>128</v>
      </c>
      <c r="E33" s="16" t="s">
        <v>36</v>
      </c>
      <c r="F33" s="11" t="s">
        <v>129</v>
      </c>
      <c r="G33" s="14"/>
      <c r="H33" s="15"/>
    </row>
    <row r="34" customFormat="false" ht="15" hidden="false" customHeight="false" outlineLevel="0" collapsed="false">
      <c r="A34" s="10" t="n">
        <v>32</v>
      </c>
      <c r="B34" s="11" t="s">
        <v>123</v>
      </c>
      <c r="C34" s="11" t="s">
        <v>130</v>
      </c>
      <c r="D34" s="11" t="s">
        <v>131</v>
      </c>
      <c r="E34" s="12" t="s">
        <v>29</v>
      </c>
      <c r="F34" s="11" t="s">
        <v>132</v>
      </c>
      <c r="G34" s="14"/>
      <c r="H34" s="15"/>
    </row>
    <row r="35" customFormat="false" ht="15" hidden="false" customHeight="false" outlineLevel="0" collapsed="false">
      <c r="A35" s="10" t="n">
        <v>33</v>
      </c>
      <c r="B35" s="11" t="s">
        <v>123</v>
      </c>
      <c r="C35" s="11" t="s">
        <v>133</v>
      </c>
      <c r="D35" s="11" t="s">
        <v>134</v>
      </c>
      <c r="E35" s="16" t="s">
        <v>36</v>
      </c>
      <c r="F35" s="13" t="s">
        <v>135</v>
      </c>
      <c r="G35" s="14"/>
      <c r="H35" s="15"/>
    </row>
    <row r="36" customFormat="false" ht="15" hidden="false" customHeight="false" outlineLevel="0" collapsed="false">
      <c r="A36" s="10" t="n">
        <v>34</v>
      </c>
      <c r="B36" s="11" t="s">
        <v>123</v>
      </c>
      <c r="C36" s="11" t="s">
        <v>136</v>
      </c>
      <c r="D36" s="11" t="s">
        <v>137</v>
      </c>
      <c r="E36" s="17" t="s">
        <v>13</v>
      </c>
      <c r="F36" s="13" t="s">
        <v>138</v>
      </c>
      <c r="G36" s="14"/>
      <c r="H36" s="15"/>
    </row>
    <row r="37" customFormat="false" ht="15" hidden="false" customHeight="false" outlineLevel="0" collapsed="false">
      <c r="A37" s="10" t="n">
        <v>35</v>
      </c>
      <c r="B37" s="11" t="s">
        <v>139</v>
      </c>
      <c r="C37" s="11" t="s">
        <v>140</v>
      </c>
      <c r="D37" s="11" t="s">
        <v>141</v>
      </c>
      <c r="E37" s="12" t="s">
        <v>29</v>
      </c>
      <c r="F37" s="11" t="s">
        <v>142</v>
      </c>
      <c r="G37" s="14"/>
      <c r="H37" s="15"/>
    </row>
    <row r="38" customFormat="false" ht="15" hidden="false" customHeight="false" outlineLevel="0" collapsed="false">
      <c r="A38" s="10" t="n">
        <v>36</v>
      </c>
      <c r="B38" s="11" t="s">
        <v>139</v>
      </c>
      <c r="C38" s="11" t="s">
        <v>143</v>
      </c>
      <c r="D38" s="11" t="s">
        <v>144</v>
      </c>
      <c r="E38" s="16" t="s">
        <v>36</v>
      </c>
      <c r="F38" s="13" t="s">
        <v>145</v>
      </c>
      <c r="G38" s="14"/>
      <c r="H38" s="15"/>
    </row>
    <row r="39" customFormat="false" ht="29.85" hidden="false" customHeight="false" outlineLevel="0" collapsed="false">
      <c r="A39" s="10" t="n">
        <v>37</v>
      </c>
      <c r="B39" s="11" t="s">
        <v>139</v>
      </c>
      <c r="C39" s="11" t="s">
        <v>146</v>
      </c>
      <c r="D39" s="11" t="s">
        <v>147</v>
      </c>
      <c r="E39" s="12" t="s">
        <v>29</v>
      </c>
      <c r="F39" s="11" t="s">
        <v>148</v>
      </c>
      <c r="G39" s="14"/>
      <c r="H39" s="15"/>
    </row>
    <row r="40" customFormat="false" ht="15" hidden="false" customHeight="false" outlineLevel="0" collapsed="false">
      <c r="A40" s="10" t="n">
        <v>38</v>
      </c>
      <c r="B40" s="11" t="s">
        <v>139</v>
      </c>
      <c r="C40" s="11" t="s">
        <v>149</v>
      </c>
      <c r="D40" s="11" t="s">
        <v>150</v>
      </c>
      <c r="E40" s="16" t="s">
        <v>36</v>
      </c>
      <c r="F40" s="11" t="s">
        <v>151</v>
      </c>
      <c r="G40" s="14"/>
      <c r="H40" s="15"/>
    </row>
    <row r="41" customFormat="false" ht="15" hidden="false" customHeight="false" outlineLevel="0" collapsed="false">
      <c r="A41" s="10" t="n">
        <v>39</v>
      </c>
      <c r="B41" s="11" t="s">
        <v>139</v>
      </c>
      <c r="C41" s="11" t="s">
        <v>152</v>
      </c>
      <c r="D41" s="13" t="s">
        <v>153</v>
      </c>
      <c r="E41" s="12" t="s">
        <v>29</v>
      </c>
      <c r="F41" s="11" t="s">
        <v>154</v>
      </c>
      <c r="G41" s="14"/>
      <c r="H41" s="15"/>
    </row>
    <row r="42" customFormat="false" ht="15" hidden="false" customHeight="false" outlineLevel="0" collapsed="false">
      <c r="A42" s="10" t="n">
        <v>40</v>
      </c>
      <c r="B42" s="11" t="s">
        <v>155</v>
      </c>
      <c r="C42" s="11" t="s">
        <v>156</v>
      </c>
      <c r="D42" s="11" t="s">
        <v>157</v>
      </c>
      <c r="E42" s="12" t="s">
        <v>29</v>
      </c>
      <c r="F42" s="11" t="s">
        <v>158</v>
      </c>
      <c r="G42" s="14"/>
      <c r="H42" s="15"/>
    </row>
    <row r="43" customFormat="false" ht="15" hidden="false" customHeight="false" outlineLevel="0" collapsed="false">
      <c r="A43" s="10" t="n">
        <v>41</v>
      </c>
      <c r="B43" s="11" t="s">
        <v>155</v>
      </c>
      <c r="C43" s="11" t="s">
        <v>159</v>
      </c>
      <c r="D43" s="11" t="s">
        <v>160</v>
      </c>
      <c r="E43" s="12" t="s">
        <v>29</v>
      </c>
      <c r="F43" s="11" t="s">
        <v>161</v>
      </c>
      <c r="G43" s="14"/>
      <c r="H43" s="15"/>
    </row>
    <row r="44" customFormat="false" ht="15" hidden="false" customHeight="false" outlineLevel="0" collapsed="false">
      <c r="A44" s="10" t="n">
        <v>42</v>
      </c>
      <c r="B44" s="11" t="s">
        <v>155</v>
      </c>
      <c r="C44" s="11" t="s">
        <v>162</v>
      </c>
      <c r="D44" s="11" t="s">
        <v>163</v>
      </c>
      <c r="E44" s="12" t="s">
        <v>29</v>
      </c>
      <c r="F44" s="11" t="s">
        <v>164</v>
      </c>
      <c r="G44" s="14"/>
      <c r="H44" s="15"/>
    </row>
    <row r="45" customFormat="false" ht="15" hidden="false" customHeight="false" outlineLevel="0" collapsed="false">
      <c r="A45" s="10" t="n">
        <v>43</v>
      </c>
      <c r="B45" s="11" t="s">
        <v>155</v>
      </c>
      <c r="C45" s="11" t="s">
        <v>165</v>
      </c>
      <c r="D45" s="11" t="s">
        <v>166</v>
      </c>
      <c r="E45" s="16" t="s">
        <v>36</v>
      </c>
      <c r="F45" s="11" t="s">
        <v>167</v>
      </c>
      <c r="G45" s="14"/>
      <c r="H45" s="15"/>
    </row>
    <row r="46" customFormat="false" ht="15" hidden="false" customHeight="false" outlineLevel="0" collapsed="false">
      <c r="A46" s="10" t="n">
        <v>44</v>
      </c>
      <c r="B46" s="11" t="s">
        <v>168</v>
      </c>
      <c r="C46" s="11" t="s">
        <v>169</v>
      </c>
      <c r="D46" s="11" t="s">
        <v>170</v>
      </c>
      <c r="E46" s="12" t="s">
        <v>29</v>
      </c>
      <c r="F46" s="11" t="s">
        <v>171</v>
      </c>
      <c r="G46" s="14"/>
      <c r="H46" s="15"/>
    </row>
    <row r="47" customFormat="false" ht="15" hidden="false" customHeight="false" outlineLevel="0" collapsed="false">
      <c r="A47" s="10" t="n">
        <v>45</v>
      </c>
      <c r="B47" s="11" t="s">
        <v>168</v>
      </c>
      <c r="C47" s="11" t="s">
        <v>159</v>
      </c>
      <c r="D47" s="11" t="s">
        <v>172</v>
      </c>
      <c r="E47" s="12" t="s">
        <v>29</v>
      </c>
      <c r="F47" s="11" t="s">
        <v>173</v>
      </c>
      <c r="G47" s="14"/>
      <c r="H47" s="15"/>
    </row>
    <row r="48" customFormat="false" ht="15" hidden="false" customHeight="false" outlineLevel="0" collapsed="false">
      <c r="A48" s="10" t="n">
        <v>46</v>
      </c>
      <c r="B48" s="11" t="s">
        <v>168</v>
      </c>
      <c r="C48" s="11" t="s">
        <v>174</v>
      </c>
      <c r="D48" s="11" t="s">
        <v>175</v>
      </c>
      <c r="E48" s="12" t="s">
        <v>29</v>
      </c>
      <c r="F48" s="11" t="s">
        <v>176</v>
      </c>
      <c r="G48" s="14"/>
      <c r="H48" s="15"/>
    </row>
    <row r="49" customFormat="false" ht="15" hidden="false" customHeight="false" outlineLevel="0" collapsed="false">
      <c r="A49" s="10" t="n">
        <v>47</v>
      </c>
      <c r="B49" s="11" t="s">
        <v>168</v>
      </c>
      <c r="C49" s="11" t="s">
        <v>177</v>
      </c>
      <c r="D49" s="11" t="s">
        <v>178</v>
      </c>
      <c r="E49" s="12" t="s">
        <v>29</v>
      </c>
      <c r="F49" s="11" t="s">
        <v>173</v>
      </c>
      <c r="G49" s="14"/>
      <c r="H49" s="15"/>
    </row>
    <row r="50" customFormat="false" ht="15" hidden="false" customHeight="false" outlineLevel="0" collapsed="false">
      <c r="A50" s="10" t="n">
        <v>48</v>
      </c>
      <c r="B50" s="11" t="s">
        <v>179</v>
      </c>
      <c r="C50" s="11" t="s">
        <v>169</v>
      </c>
      <c r="D50" s="11" t="s">
        <v>180</v>
      </c>
      <c r="E50" s="12" t="s">
        <v>29</v>
      </c>
      <c r="F50" s="11" t="s">
        <v>181</v>
      </c>
      <c r="G50" s="14"/>
      <c r="H50" s="15"/>
    </row>
    <row r="51" customFormat="false" ht="15" hidden="false" customHeight="false" outlineLevel="0" collapsed="false">
      <c r="A51" s="10" t="n">
        <v>49</v>
      </c>
      <c r="B51" s="11" t="s">
        <v>179</v>
      </c>
      <c r="C51" s="11" t="s">
        <v>159</v>
      </c>
      <c r="D51" s="11" t="s">
        <v>172</v>
      </c>
      <c r="E51" s="12" t="s">
        <v>29</v>
      </c>
      <c r="F51" s="11" t="s">
        <v>173</v>
      </c>
      <c r="G51" s="14"/>
      <c r="H51" s="15"/>
    </row>
    <row r="52" customFormat="false" ht="15" hidden="false" customHeight="false" outlineLevel="0" collapsed="false">
      <c r="A52" s="10" t="n">
        <v>50</v>
      </c>
      <c r="B52" s="11" t="s">
        <v>179</v>
      </c>
      <c r="C52" s="11" t="s">
        <v>174</v>
      </c>
      <c r="D52" s="11" t="s">
        <v>182</v>
      </c>
      <c r="E52" s="12" t="s">
        <v>29</v>
      </c>
      <c r="F52" s="11" t="s">
        <v>183</v>
      </c>
      <c r="G52" s="14"/>
      <c r="H52" s="15"/>
    </row>
    <row r="53" customFormat="false" ht="15" hidden="false" customHeight="false" outlineLevel="0" collapsed="false">
      <c r="A53" s="10" t="n">
        <v>51</v>
      </c>
      <c r="B53" s="11" t="s">
        <v>179</v>
      </c>
      <c r="C53" s="11" t="s">
        <v>177</v>
      </c>
      <c r="D53" s="11" t="s">
        <v>178</v>
      </c>
      <c r="E53" s="12" t="s">
        <v>29</v>
      </c>
      <c r="F53" s="11" t="s">
        <v>173</v>
      </c>
      <c r="G53" s="14"/>
      <c r="H53" s="15"/>
    </row>
    <row r="54" customFormat="false" ht="29.85" hidden="false" customHeight="false" outlineLevel="0" collapsed="false">
      <c r="A54" s="10" t="n">
        <v>52</v>
      </c>
      <c r="B54" s="11" t="s">
        <v>184</v>
      </c>
      <c r="C54" s="11" t="s">
        <v>169</v>
      </c>
      <c r="D54" s="11" t="s">
        <v>185</v>
      </c>
      <c r="E54" s="12" t="s">
        <v>29</v>
      </c>
      <c r="F54" s="11" t="s">
        <v>186</v>
      </c>
      <c r="G54" s="14"/>
      <c r="H54" s="15"/>
    </row>
    <row r="55" customFormat="false" ht="15" hidden="false" customHeight="false" outlineLevel="0" collapsed="false">
      <c r="A55" s="10" t="n">
        <v>53</v>
      </c>
      <c r="B55" s="11" t="s">
        <v>184</v>
      </c>
      <c r="C55" s="11" t="s">
        <v>159</v>
      </c>
      <c r="D55" s="11" t="s">
        <v>187</v>
      </c>
      <c r="E55" s="12" t="s">
        <v>29</v>
      </c>
      <c r="F55" s="11" t="s">
        <v>173</v>
      </c>
      <c r="G55" s="14"/>
      <c r="H55" s="15"/>
    </row>
    <row r="56" customFormat="false" ht="15" hidden="false" customHeight="false" outlineLevel="0" collapsed="false">
      <c r="A56" s="10" t="n">
        <v>54</v>
      </c>
      <c r="B56" s="11" t="s">
        <v>184</v>
      </c>
      <c r="C56" s="11" t="s">
        <v>174</v>
      </c>
      <c r="D56" s="11" t="s">
        <v>182</v>
      </c>
      <c r="E56" s="12" t="s">
        <v>29</v>
      </c>
      <c r="F56" s="11" t="s">
        <v>183</v>
      </c>
      <c r="G56" s="14"/>
      <c r="H56" s="15"/>
    </row>
    <row r="57" customFormat="false" ht="15" hidden="false" customHeight="false" outlineLevel="0" collapsed="false">
      <c r="A57" s="10" t="n">
        <v>55</v>
      </c>
      <c r="B57" s="11" t="s">
        <v>184</v>
      </c>
      <c r="C57" s="11" t="s">
        <v>177</v>
      </c>
      <c r="D57" s="11" t="s">
        <v>188</v>
      </c>
      <c r="E57" s="12" t="s">
        <v>29</v>
      </c>
      <c r="F57" s="11" t="s">
        <v>173</v>
      </c>
      <c r="G57" s="14"/>
      <c r="H57" s="15"/>
    </row>
    <row r="58" customFormat="false" ht="15" hidden="false" customHeight="false" outlineLevel="0" collapsed="false">
      <c r="A58" s="10" t="n">
        <v>56</v>
      </c>
      <c r="B58" s="11" t="s">
        <v>189</v>
      </c>
      <c r="C58" s="11" t="s">
        <v>190</v>
      </c>
      <c r="D58" s="11" t="s">
        <v>191</v>
      </c>
      <c r="E58" s="16" t="s">
        <v>36</v>
      </c>
      <c r="F58" s="11" t="s">
        <v>192</v>
      </c>
      <c r="G58" s="14"/>
      <c r="H58" s="15"/>
    </row>
    <row r="59" customFormat="false" ht="15" hidden="false" customHeight="false" outlineLevel="0" collapsed="false">
      <c r="A59" s="10" t="n">
        <v>57</v>
      </c>
      <c r="B59" s="11" t="s">
        <v>189</v>
      </c>
      <c r="C59" s="11" t="s">
        <v>193</v>
      </c>
      <c r="D59" s="11" t="s">
        <v>194</v>
      </c>
      <c r="E59" s="17" t="s">
        <v>13</v>
      </c>
      <c r="F59" s="11" t="s">
        <v>195</v>
      </c>
      <c r="G59" s="14"/>
      <c r="H59" s="15"/>
    </row>
    <row r="60" customFormat="false" ht="15" hidden="false" customHeight="false" outlineLevel="0" collapsed="false">
      <c r="A60" s="10" t="n">
        <v>58</v>
      </c>
      <c r="B60" s="11" t="s">
        <v>189</v>
      </c>
      <c r="C60" s="11" t="s">
        <v>196</v>
      </c>
      <c r="D60" s="11" t="s">
        <v>197</v>
      </c>
      <c r="E60" s="16" t="s">
        <v>36</v>
      </c>
      <c r="F60" s="11" t="s">
        <v>198</v>
      </c>
      <c r="G60" s="14"/>
      <c r="H60" s="15"/>
    </row>
    <row r="61" customFormat="false" ht="15" hidden="false" customHeight="false" outlineLevel="0" collapsed="false">
      <c r="A61" s="10" t="n">
        <v>59</v>
      </c>
      <c r="B61" s="11" t="s">
        <v>199</v>
      </c>
      <c r="C61" s="11" t="s">
        <v>200</v>
      </c>
      <c r="D61" s="11" t="s">
        <v>201</v>
      </c>
      <c r="E61" s="16" t="s">
        <v>36</v>
      </c>
      <c r="F61" s="11" t="s">
        <v>202</v>
      </c>
      <c r="G61" s="14"/>
      <c r="H61" s="15"/>
    </row>
    <row r="62" customFormat="false" ht="15" hidden="false" customHeight="false" outlineLevel="0" collapsed="false">
      <c r="A62" s="10" t="n">
        <v>60</v>
      </c>
      <c r="B62" s="11" t="s">
        <v>199</v>
      </c>
      <c r="C62" s="11" t="s">
        <v>203</v>
      </c>
      <c r="D62" s="11" t="s">
        <v>204</v>
      </c>
      <c r="E62" s="16" t="s">
        <v>36</v>
      </c>
      <c r="F62" s="11" t="s">
        <v>205</v>
      </c>
      <c r="G62" s="14"/>
      <c r="H62" s="15"/>
    </row>
    <row r="63" customFormat="false" ht="15" hidden="false" customHeight="false" outlineLevel="0" collapsed="false">
      <c r="A63" s="10" t="n">
        <v>61</v>
      </c>
      <c r="B63" s="11" t="s">
        <v>199</v>
      </c>
      <c r="C63" s="11" t="s">
        <v>206</v>
      </c>
      <c r="D63" s="11" t="s">
        <v>207</v>
      </c>
      <c r="E63" s="16" t="s">
        <v>36</v>
      </c>
      <c r="F63" s="11" t="s">
        <v>208</v>
      </c>
      <c r="G63" s="14"/>
      <c r="H63" s="15"/>
    </row>
    <row r="64" customFormat="false" ht="15" hidden="false" customHeight="false" outlineLevel="0" collapsed="false">
      <c r="A64" s="10" t="n">
        <v>62</v>
      </c>
      <c r="B64" s="11" t="s">
        <v>199</v>
      </c>
      <c r="C64" s="11" t="s">
        <v>209</v>
      </c>
      <c r="D64" s="11" t="s">
        <v>210</v>
      </c>
      <c r="E64" s="16" t="s">
        <v>36</v>
      </c>
      <c r="F64" s="11" t="s">
        <v>211</v>
      </c>
      <c r="G64" s="14"/>
      <c r="H64" s="15"/>
    </row>
    <row r="65" customFormat="false" ht="29.85" hidden="false" customHeight="false" outlineLevel="0" collapsed="false">
      <c r="A65" s="10" t="n">
        <v>63</v>
      </c>
      <c r="B65" s="11" t="s">
        <v>212</v>
      </c>
      <c r="C65" s="11" t="s">
        <v>213</v>
      </c>
      <c r="D65" s="13" t="s">
        <v>214</v>
      </c>
      <c r="E65" s="12" t="s">
        <v>29</v>
      </c>
      <c r="F65" s="11" t="s">
        <v>215</v>
      </c>
      <c r="G65" s="14"/>
      <c r="H65" s="15"/>
    </row>
    <row r="66" customFormat="false" ht="15" hidden="false" customHeight="false" outlineLevel="0" collapsed="false">
      <c r="A66" s="10" t="n">
        <v>64</v>
      </c>
      <c r="B66" s="11" t="s">
        <v>212</v>
      </c>
      <c r="C66" s="11" t="s">
        <v>216</v>
      </c>
      <c r="D66" s="11" t="s">
        <v>217</v>
      </c>
      <c r="E66" s="16" t="s">
        <v>36</v>
      </c>
      <c r="F66" s="11" t="s">
        <v>218</v>
      </c>
      <c r="G66" s="14"/>
      <c r="H66" s="15"/>
    </row>
    <row r="67" customFormat="false" ht="15" hidden="false" customHeight="false" outlineLevel="0" collapsed="false">
      <c r="A67" s="10" t="n">
        <v>65</v>
      </c>
      <c r="B67" s="11" t="s">
        <v>212</v>
      </c>
      <c r="C67" s="11" t="s">
        <v>219</v>
      </c>
      <c r="D67" s="11" t="s">
        <v>220</v>
      </c>
      <c r="E67" s="16" t="s">
        <v>36</v>
      </c>
      <c r="F67" s="11" t="s">
        <v>183</v>
      </c>
      <c r="G67" s="14"/>
      <c r="H67" s="15"/>
    </row>
    <row r="68" customFormat="false" ht="15" hidden="false" customHeight="false" outlineLevel="0" collapsed="false">
      <c r="A68" s="10" t="n">
        <v>66</v>
      </c>
      <c r="B68" s="11" t="s">
        <v>221</v>
      </c>
      <c r="C68" s="11" t="s">
        <v>222</v>
      </c>
      <c r="D68" s="11" t="s">
        <v>223</v>
      </c>
      <c r="E68" s="16" t="s">
        <v>36</v>
      </c>
      <c r="F68" s="11" t="s">
        <v>224</v>
      </c>
      <c r="G68" s="14"/>
      <c r="H68" s="15"/>
    </row>
    <row r="69" customFormat="false" ht="15" hidden="false" customHeight="false" outlineLevel="0" collapsed="false">
      <c r="A69" s="10" t="n">
        <v>67</v>
      </c>
      <c r="B69" s="11" t="s">
        <v>221</v>
      </c>
      <c r="C69" s="11" t="s">
        <v>225</v>
      </c>
      <c r="D69" s="11" t="s">
        <v>226</v>
      </c>
      <c r="E69" s="16" t="s">
        <v>36</v>
      </c>
      <c r="F69" s="11" t="s">
        <v>227</v>
      </c>
      <c r="G69" s="14"/>
      <c r="H69" s="15"/>
    </row>
    <row r="70" customFormat="false" ht="29.85" hidden="false" customHeight="false" outlineLevel="0" collapsed="false">
      <c r="A70" s="10" t="n">
        <v>68</v>
      </c>
      <c r="B70" s="11" t="s">
        <v>228</v>
      </c>
      <c r="C70" s="11" t="s">
        <v>229</v>
      </c>
      <c r="D70" s="11" t="s">
        <v>230</v>
      </c>
      <c r="E70" s="17" t="s">
        <v>13</v>
      </c>
      <c r="F70" s="13" t="s">
        <v>231</v>
      </c>
      <c r="G70" s="14"/>
      <c r="H70" s="15"/>
    </row>
    <row r="71" customFormat="false" ht="15" hidden="false" customHeight="false" outlineLevel="0" collapsed="false">
      <c r="A71" s="10" t="n">
        <v>69</v>
      </c>
      <c r="B71" s="11" t="s">
        <v>174</v>
      </c>
      <c r="C71" s="11" t="s">
        <v>232</v>
      </c>
      <c r="D71" s="11" t="s">
        <v>233</v>
      </c>
      <c r="E71" s="12" t="s">
        <v>29</v>
      </c>
      <c r="F71" s="11" t="s">
        <v>234</v>
      </c>
      <c r="G71" s="14"/>
      <c r="H71" s="15"/>
    </row>
    <row r="72" customFormat="false" ht="15" hidden="false" customHeight="false" outlineLevel="0" collapsed="false">
      <c r="A72" s="10" t="n">
        <v>70</v>
      </c>
      <c r="B72" s="11" t="s">
        <v>174</v>
      </c>
      <c r="C72" s="11" t="s">
        <v>235</v>
      </c>
      <c r="D72" s="11" t="s">
        <v>236</v>
      </c>
      <c r="E72" s="12" t="s">
        <v>29</v>
      </c>
      <c r="F72" s="11" t="s">
        <v>237</v>
      </c>
      <c r="G72" s="14"/>
      <c r="H72" s="15"/>
    </row>
    <row r="73" customFormat="false" ht="15" hidden="false" customHeight="false" outlineLevel="0" collapsed="false">
      <c r="A73" s="10" t="n">
        <v>71</v>
      </c>
      <c r="B73" s="11" t="s">
        <v>174</v>
      </c>
      <c r="C73" s="11" t="s">
        <v>238</v>
      </c>
      <c r="D73" s="11" t="s">
        <v>239</v>
      </c>
      <c r="E73" s="12" t="s">
        <v>29</v>
      </c>
      <c r="F73" s="11" t="s">
        <v>240</v>
      </c>
      <c r="G73" s="14"/>
      <c r="H73" s="15"/>
    </row>
    <row r="74" customFormat="false" ht="15" hidden="false" customHeight="false" outlineLevel="0" collapsed="false">
      <c r="A74" s="10" t="n">
        <v>72</v>
      </c>
      <c r="B74" s="11" t="s">
        <v>174</v>
      </c>
      <c r="C74" s="11" t="s">
        <v>241</v>
      </c>
      <c r="D74" s="11" t="s">
        <v>242</v>
      </c>
      <c r="E74" s="16" t="s">
        <v>36</v>
      </c>
      <c r="F74" s="11" t="s">
        <v>198</v>
      </c>
      <c r="G74" s="14"/>
      <c r="H74" s="15"/>
    </row>
    <row r="75" customFormat="false" ht="15" hidden="false" customHeight="false" outlineLevel="0" collapsed="false">
      <c r="A75" s="10" t="n">
        <v>73</v>
      </c>
      <c r="B75" s="11" t="s">
        <v>243</v>
      </c>
      <c r="C75" s="11" t="s">
        <v>244</v>
      </c>
      <c r="D75" s="11" t="s">
        <v>245</v>
      </c>
      <c r="E75" s="16" t="s">
        <v>36</v>
      </c>
      <c r="F75" s="13" t="s">
        <v>246</v>
      </c>
      <c r="G75" s="14"/>
      <c r="H75" s="15"/>
    </row>
    <row r="76" customFormat="false" ht="29.85" hidden="false" customHeight="false" outlineLevel="0" collapsed="false">
      <c r="A76" s="10" t="n">
        <v>74</v>
      </c>
      <c r="B76" s="11" t="s">
        <v>243</v>
      </c>
      <c r="C76" s="11" t="s">
        <v>247</v>
      </c>
      <c r="D76" s="11" t="s">
        <v>248</v>
      </c>
      <c r="E76" s="16" t="s">
        <v>36</v>
      </c>
      <c r="F76" s="13" t="s">
        <v>249</v>
      </c>
      <c r="G76" s="14"/>
      <c r="H76" s="15"/>
    </row>
    <row r="77" customFormat="false" ht="15" hidden="false" customHeight="false" outlineLevel="0" collapsed="false">
      <c r="A77" s="10" t="n">
        <v>75</v>
      </c>
      <c r="B77" s="11" t="s">
        <v>243</v>
      </c>
      <c r="C77" s="11" t="s">
        <v>250</v>
      </c>
      <c r="D77" s="11" t="s">
        <v>251</v>
      </c>
      <c r="E77" s="16" t="s">
        <v>36</v>
      </c>
      <c r="F77" s="11" t="s">
        <v>252</v>
      </c>
      <c r="G77" s="14"/>
      <c r="H77" s="15"/>
    </row>
    <row r="78" customFormat="false" ht="15" hidden="false" customHeight="false" outlineLevel="0" collapsed="false">
      <c r="A78" s="10" t="n">
        <v>76</v>
      </c>
      <c r="B78" s="11" t="s">
        <v>253</v>
      </c>
      <c r="C78" s="11" t="s">
        <v>254</v>
      </c>
      <c r="D78" s="11" t="s">
        <v>255</v>
      </c>
      <c r="E78" s="17" t="s">
        <v>13</v>
      </c>
      <c r="F78" s="11" t="s">
        <v>256</v>
      </c>
      <c r="G78" s="14"/>
      <c r="H78" s="15"/>
    </row>
    <row r="79" customFormat="false" ht="15" hidden="false" customHeight="false" outlineLevel="0" collapsed="false">
      <c r="A79" s="10" t="n">
        <v>77</v>
      </c>
      <c r="B79" s="11" t="s">
        <v>257</v>
      </c>
      <c r="C79" s="11" t="s">
        <v>258</v>
      </c>
      <c r="D79" s="11" t="s">
        <v>259</v>
      </c>
      <c r="E79" s="12" t="s">
        <v>29</v>
      </c>
      <c r="F79" s="11" t="s">
        <v>260</v>
      </c>
      <c r="G79" s="14"/>
      <c r="H79" s="15"/>
    </row>
    <row r="80" customFormat="false" ht="29.85" hidden="false" customHeight="false" outlineLevel="0" collapsed="false">
      <c r="A80" s="10" t="n">
        <v>78</v>
      </c>
      <c r="B80" s="11" t="s">
        <v>257</v>
      </c>
      <c r="C80" s="11" t="s">
        <v>261</v>
      </c>
      <c r="D80" s="11" t="s">
        <v>262</v>
      </c>
      <c r="E80" s="12" t="s">
        <v>29</v>
      </c>
      <c r="F80" s="11" t="s">
        <v>263</v>
      </c>
      <c r="G80" s="14"/>
      <c r="H80" s="15"/>
    </row>
    <row r="81" customFormat="false" ht="15" hidden="false" customHeight="false" outlineLevel="0" collapsed="false">
      <c r="A81" s="10" t="n">
        <v>79</v>
      </c>
      <c r="B81" s="11" t="s">
        <v>257</v>
      </c>
      <c r="C81" s="11" t="s">
        <v>264</v>
      </c>
      <c r="D81" s="11" t="s">
        <v>265</v>
      </c>
      <c r="E81" s="12" t="s">
        <v>29</v>
      </c>
      <c r="F81" s="13" t="s">
        <v>266</v>
      </c>
      <c r="G81" s="14"/>
      <c r="H81" s="15"/>
    </row>
    <row r="82" customFormat="false" ht="15" hidden="false" customHeight="false" outlineLevel="0" collapsed="false">
      <c r="A82" s="10" t="n">
        <v>80</v>
      </c>
      <c r="B82" s="11" t="s">
        <v>257</v>
      </c>
      <c r="C82" s="11" t="s">
        <v>267</v>
      </c>
      <c r="D82" s="11" t="s">
        <v>268</v>
      </c>
      <c r="E82" s="16" t="s">
        <v>36</v>
      </c>
      <c r="F82" s="11" t="s">
        <v>269</v>
      </c>
      <c r="G82" s="14"/>
      <c r="H82" s="15"/>
    </row>
  </sheetData>
  <autoFilter ref="A2:H82"/>
  <dataValidations count="1">
    <dataValidation allowBlank="true" errorStyle="stop" operator="between" prompt="プルダウンから選択" promptTitle="決定" showDropDown="false" showErrorMessage="false" showInputMessage="false" sqref="G3:G82" type="list">
      <formula1>"要(MVP),後で(v2以降),不要,未定"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2026-08-09T06:33:54Z</dcterms:created>
  <dc:creator>openpyxl</dc:creator>
  <dc:description/>
  <dc:language>en-US</dc:language>
  <cp:lastModifiedBy/>
  <dcterms:modified xsi:type="dcterms:W3CDTF">2026-08-09T06:33:54Z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